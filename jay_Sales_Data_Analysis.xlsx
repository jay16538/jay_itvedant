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2FDCCBE-6BE7-4487-BCA1-D2F4469CC3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Raw_Data" sheetId="1" r:id="rId1"/>
    <sheet name="02_Aggregate_FunTable" sheetId="3" r:id="rId2"/>
    <sheet name="03_IFERROR" sheetId="2" r:id="rId3"/>
    <sheet name="03_Normal_Table" sheetId="4" r:id="rId4"/>
    <sheet name="05_Ctrl_T_Table" sheetId="5" r:id="rId5"/>
    <sheet name="06_Pivot_Table" sheetId="6" r:id="rId6"/>
  </sheets>
  <definedNames>
    <definedName name="_xlnm._FilterDatabase" localSheetId="4" hidden="1">'05_Ctrl_T_Table'!$E$43:$E$1242</definedName>
    <definedName name="_xlchart.v1.0" hidden="1">'05_Ctrl_T_Table'!$N$47</definedName>
    <definedName name="_xlchart.v1.1" hidden="1">'05_Ctrl_T_Table'!$N$47</definedName>
  </definedNames>
  <calcPr calcId="191029"/>
  <pivotCaches>
    <pivotCache cacheId="4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5" l="1"/>
  <c r="B45" i="5"/>
  <c r="B46" i="5"/>
  <c r="B47" i="5"/>
  <c r="B48" i="5"/>
  <c r="B49" i="5"/>
  <c r="B24" i="5"/>
  <c r="B25" i="5"/>
  <c r="B26" i="5"/>
  <c r="B27" i="5"/>
  <c r="B28" i="5"/>
  <c r="B29" i="5"/>
  <c r="B23" i="5"/>
  <c r="B36" i="4"/>
  <c r="B37" i="4"/>
  <c r="B38" i="4"/>
  <c r="B39" i="4"/>
  <c r="B40" i="4"/>
  <c r="B35" i="4"/>
  <c r="A35" i="4" a="1"/>
  <c r="B22" i="4"/>
  <c r="B23" i="4"/>
  <c r="B24" i="4"/>
  <c r="B25" i="4"/>
  <c r="B26" i="4"/>
  <c r="B27" i="4"/>
  <c r="B21" i="4"/>
  <c r="A21" i="4" a="1"/>
  <c r="A9" i="4" a="1"/>
  <c r="B9" i="4" s="1"/>
  <c r="B10" i="4"/>
  <c r="B11" i="4"/>
  <c r="B12" i="4"/>
  <c r="B13" i="4"/>
  <c r="B14" i="4"/>
  <c r="B15" i="4"/>
  <c r="F6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" i="2"/>
  <c r="F3" i="2"/>
  <c r="F4" i="2"/>
  <c r="F5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" i="2"/>
  <c r="B5" i="3"/>
  <c r="D5" i="3"/>
  <c r="B11" i="3"/>
  <c r="C5" i="3"/>
  <c r="H2" i="3" a="1"/>
  <c r="B8" i="5" l="1"/>
  <c r="B11" i="5"/>
  <c r="B9" i="5"/>
  <c r="B10" i="5"/>
  <c r="B12" i="5"/>
  <c r="B7" i="5"/>
  <c r="G2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<sst xmlns="http://schemas.openxmlformats.org/spreadsheetml/2006/main" count="10621" uniqueCount="4308">
  <si>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</si>
  <si>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</si>
  <si>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</si>
  <si>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</si>
  <si>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</si>
  <si>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</si>
  <si>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</si>
  <si>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</si>
  <si>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</si>
  <si>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</si>
  <si>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</si>
  <si>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</si>
  <si>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</si>
  <si>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</si>
  <si>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</si>
  <si>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</si>
  <si>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</si>
  <si>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</si>
  <si>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</si>
  <si>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</si>
  <si>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</si>
  <si>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</si>
  <si>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</si>
  <si>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</si>
  <si>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</si>
  <si>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</si>
  <si>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</si>
  <si>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</si>
  <si>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</si>
  <si>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</si>
  <si>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</si>
  <si>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</si>
  <si>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</si>
  <si>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</si>
  <si>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</si>
  <si>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</si>
  <si>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</si>
  <si>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</si>
  <si>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</si>
  <si>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</si>
  <si>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</si>
  <si>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</si>
  <si>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</si>
  <si>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</si>
  <si>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</si>
  <si>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</si>
  <si>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</si>
  <si>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</si>
  <si>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</si>
  <si>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</si>
  <si>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</si>
  <si>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</si>
  <si>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</si>
  <si>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</si>
  <si>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</si>
  <si>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</si>
  <si>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</si>
  <si>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</si>
  <si>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</si>
  <si>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</si>
  <si>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</si>
  <si>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</si>
  <si>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</si>
  <si>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</si>
  <si>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</si>
  <si>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</si>
  <si>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</si>
  <si>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</si>
  <si>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</si>
  <si>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</si>
  <si>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</si>
  <si>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</si>
  <si>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</si>
  <si>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</si>
  <si>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</si>
  <si>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</si>
  <si>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</si>
  <si>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</si>
  <si>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</si>
  <si>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</si>
  <si>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</si>
  <si>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</si>
  <si>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</si>
  <si>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</si>
  <si>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</si>
  <si>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</si>
  <si>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</si>
  <si>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</si>
  <si>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</si>
  <si>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</si>
  <si>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</si>
  <si>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</si>
  <si>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</si>
  <si>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</si>
  <si>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</si>
  <si>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</si>
  <si>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</si>
  <si>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</si>
  <si>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</si>
  <si>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</si>
  <si>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</si>
  <si>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</si>
  <si>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</si>
  <si>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</si>
  <si>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</si>
  <si>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</si>
  <si>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</si>
  <si>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</si>
  <si>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</si>
  <si>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</si>
  <si>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</si>
  <si>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</si>
  <si>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</si>
  <si>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</si>
  <si>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</si>
  <si>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</si>
  <si>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</si>
  <si>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</si>
  <si>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</si>
  <si>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</si>
  <si>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</si>
  <si>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</si>
  <si>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</si>
  <si>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</si>
  <si>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</si>
  <si>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</si>
  <si>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</si>
  <si>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</si>
  <si>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</si>
  <si>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</si>
  <si>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</si>
  <si>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</si>
  <si>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</si>
  <si>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</si>
  <si>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</si>
  <si>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</si>
  <si>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</si>
  <si>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</si>
  <si>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</si>
  <si>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</si>
  <si>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</si>
  <si>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</si>
  <si>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</si>
  <si>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</si>
  <si>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</si>
  <si>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</si>
  <si>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</si>
  <si>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</si>
  <si>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</si>
  <si>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</si>
  <si>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</si>
  <si>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</si>
  <si>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</si>
  <si>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</si>
  <si>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</si>
  <si>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</si>
  <si>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</si>
  <si>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</si>
  <si>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</si>
  <si>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</si>
  <si>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</si>
  <si>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</si>
  <si>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</si>
  <si>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</si>
  <si>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</si>
  <si>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</si>
  <si>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</si>
  <si>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</si>
  <si>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</si>
  <si>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</si>
  <si>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</si>
  <si>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</si>
  <si>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</si>
  <si>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</si>
  <si>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</si>
  <si>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</si>
  <si>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</si>
  <si>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</si>
  <si>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</si>
  <si>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</si>
  <si>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</si>
  <si>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</si>
  <si>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</si>
  <si>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</si>
  <si>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</si>
  <si>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</si>
  <si>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</si>
  <si>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</si>
  <si>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</si>
  <si>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</si>
  <si>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</si>
  <si>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</si>
  <si>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</si>
  <si>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</si>
  <si>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</si>
  <si>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</si>
  <si>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</si>
  <si>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</si>
  <si>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</si>
  <si>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</si>
  <si>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</si>
  <si>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</si>
  <si>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</si>
  <si>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</si>
  <si>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</si>
  <si>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</si>
  <si>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</si>
  <si>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</si>
  <si>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</si>
  <si>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</si>
  <si>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</si>
  <si>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</si>
  <si>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</si>
  <si>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</si>
  <si>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</si>
  <si>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</si>
  <si>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</si>
  <si>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</si>
  <si>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</si>
  <si>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</si>
  <si>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</si>
  <si>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</si>
  <si>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</si>
  <si>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</si>
  <si>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</si>
  <si>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</si>
  <si>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</si>
  <si>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</si>
  <si>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</si>
  <si>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</si>
  <si>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</si>
  <si>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</si>
  <si>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</si>
  <si>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</si>
  <si>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</si>
  <si>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</si>
  <si>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</si>
  <si>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</si>
  <si>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</si>
  <si>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</si>
  <si>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</si>
  <si>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</si>
  <si>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</si>
  <si>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</si>
  <si>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</si>
  <si>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</si>
  <si>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</si>
  <si>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</si>
  <si>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</si>
  <si>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</si>
  <si>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</si>
  <si>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</si>
  <si>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</si>
  <si>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</si>
  <si>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</si>
  <si>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</si>
  <si>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</si>
  <si>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</si>
  <si>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</si>
  <si>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</si>
  <si>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</si>
  <si>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</si>
  <si>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</si>
  <si>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</si>
  <si>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</si>
  <si>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</si>
  <si>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</si>
  <si>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</si>
  <si>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</si>
  <si>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</si>
  <si>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</si>
  <si>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</si>
  <si>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</si>
  <si>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</si>
  <si>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</si>
  <si>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</si>
  <si>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</si>
  <si>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</si>
  <si>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</si>
  <si>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</si>
  <si>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</si>
  <si>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</si>
  <si>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</si>
  <si>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</si>
  <si>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</si>
  <si>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</si>
  <si>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</si>
  <si>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</si>
  <si>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</si>
  <si>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</si>
  <si>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</si>
  <si>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</si>
  <si>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</si>
  <si>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</si>
  <si>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</si>
  <si>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</si>
  <si>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</si>
  <si>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</si>
  <si>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</si>
  <si>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</si>
  <si>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</si>
  <si>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</si>
  <si>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</si>
  <si>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</si>
  <si>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</si>
  <si>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</si>
  <si>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</si>
  <si>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</si>
  <si>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</si>
  <si>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</si>
  <si>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</si>
  <si>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</si>
  <si>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</si>
  <si>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</si>
  <si>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</si>
  <si>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</si>
  <si>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</si>
  <si>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</si>
  <si>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</si>
  <si>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</si>
  <si>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</si>
  <si>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</si>
  <si>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</si>
  <si>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</si>
  <si>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</si>
  <si>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</si>
  <si>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</si>
  <si>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</si>
  <si>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</si>
  <si>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</si>
  <si>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</si>
  <si>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</si>
  <si>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</si>
  <si>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</si>
  <si>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</si>
  <si>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</si>
  <si>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</si>
  <si>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</si>
  <si>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</si>
  <si>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</si>
  <si>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</si>
  <si>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</si>
  <si>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</si>
  <si>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</si>
  <si>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</si>
  <si>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</si>
  <si>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</si>
  <si>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</si>
  <si>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</si>
  <si>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</si>
  <si>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</si>
  <si>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</si>
  <si>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</si>
  <si>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</si>
  <si>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</si>
  <si>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</si>
  <si>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</si>
  <si>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</si>
  <si>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</si>
  <si>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</si>
  <si>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</si>
  <si>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</si>
  <si>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</si>
  <si>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</si>
  <si>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</si>
  <si>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</si>
  <si>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</si>
  <si>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</si>
  <si>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</si>
  <si>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</si>
  <si>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</si>
  <si>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</si>
  <si>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</si>
  <si>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</si>
  <si>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</si>
  <si>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</si>
  <si>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</si>
  <si>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</si>
  <si>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</si>
  <si>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</si>
  <si>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</si>
  <si>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</si>
  <si>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</si>
  <si>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</si>
  <si>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</si>
  <si>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</si>
  <si>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</si>
  <si>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</si>
  <si>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</si>
  <si>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</si>
  <si>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</si>
  <si>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</si>
  <si>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</si>
  <si>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</si>
  <si>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</si>
  <si>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</si>
  <si>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</si>
  <si>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</si>
  <si>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</si>
  <si>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</si>
  <si>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</si>
  <si>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</si>
  <si>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</si>
  <si>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</si>
  <si>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</si>
  <si>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</si>
  <si>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</si>
  <si>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</si>
  <si>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</si>
  <si>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</si>
  <si>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</si>
  <si>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</si>
  <si>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</si>
  <si>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</si>
  <si>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</si>
  <si>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</si>
  <si>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</si>
  <si>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</si>
  <si>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</si>
  <si>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</si>
  <si>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</si>
  <si>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</si>
  <si>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</si>
  <si>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</si>
  <si>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</si>
  <si>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</si>
  <si>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</si>
  <si>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</si>
  <si>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</si>
  <si>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</si>
  <si>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</si>
  <si>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</si>
  <si>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</si>
  <si>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</si>
  <si>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</si>
  <si>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</si>
  <si>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</si>
  <si>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</si>
  <si>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</si>
  <si>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</si>
  <si>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</si>
  <si>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</si>
  <si>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</si>
  <si>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</si>
  <si>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</si>
  <si>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</si>
  <si>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</si>
  <si>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</si>
  <si>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</si>
  <si>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</si>
  <si>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</si>
  <si>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</si>
  <si>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</si>
  <si>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</si>
  <si>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</si>
  <si>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</si>
  <si>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</si>
  <si>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</si>
  <si>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</si>
  <si>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</si>
  <si>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</si>
  <si>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</si>
  <si>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</si>
  <si>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</si>
  <si>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</si>
  <si>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</si>
  <si>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</si>
  <si>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</si>
  <si>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</si>
  <si>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</si>
  <si>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</si>
  <si>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</si>
  <si>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</si>
  <si>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</si>
  <si>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</si>
  <si>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</si>
  <si>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</si>
  <si>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</si>
  <si>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</si>
  <si>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</si>
  <si>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</si>
  <si>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</si>
  <si>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</si>
  <si>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</si>
  <si>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</si>
  <si>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</si>
  <si>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</si>
  <si>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</si>
  <si>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</si>
  <si>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</si>
  <si>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</si>
  <si>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</si>
  <si>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</si>
  <si>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</si>
  <si>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</si>
  <si>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</si>
  <si>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</si>
  <si>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</si>
  <si>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</si>
  <si>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</si>
  <si>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</si>
  <si>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</si>
  <si>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</si>
  <si>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</si>
  <si>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</si>
  <si>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</si>
  <si>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</si>
  <si>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</si>
  <si>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</si>
  <si>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</si>
  <si>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</si>
  <si>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</si>
  <si>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</si>
  <si>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</si>
  <si>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</si>
  <si>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</si>
  <si>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</si>
  <si>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</si>
  <si>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</si>
  <si>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</si>
  <si>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</si>
  <si>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</si>
  <si>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</si>
  <si>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</si>
  <si>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</si>
  <si>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</si>
  <si>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</si>
  <si>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</si>
  <si>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</si>
  <si>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</si>
  <si>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</si>
  <si>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</si>
  <si>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</si>
  <si>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</si>
  <si>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</si>
  <si>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</si>
  <si>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</si>
  <si>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</si>
  <si>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</si>
  <si>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</si>
  <si>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</si>
  <si>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</si>
  <si>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</si>
  <si>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</si>
  <si>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</si>
  <si>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</si>
  <si>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</si>
  <si>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</si>
  <si>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</si>
  <si>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</si>
  <si>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</si>
  <si>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</si>
  <si>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</si>
  <si>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</si>
  <si>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</si>
  <si>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</si>
  <si>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</si>
  <si>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</si>
  <si>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</si>
  <si>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</si>
  <si>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</si>
  <si>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</si>
  <si>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</si>
  <si>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</si>
  <si>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</si>
  <si>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</si>
  <si>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</si>
  <si>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</si>
  <si>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</si>
  <si>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</si>
  <si>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</si>
  <si>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</si>
  <si>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</si>
  <si>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</si>
  <si>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</si>
  <si>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</si>
  <si>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</si>
  <si>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</si>
  <si>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</si>
  <si>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</si>
  <si>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</si>
  <si>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</si>
  <si>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</si>
  <si>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</si>
  <si>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</si>
  <si>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</si>
  <si>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</si>
  <si>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</si>
  <si>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</si>
  <si>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</si>
  <si>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</si>
  <si>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</si>
  <si>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</si>
  <si>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</si>
  <si>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</si>
  <si>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</si>
  <si>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</si>
  <si>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</si>
  <si>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</si>
  <si>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</si>
  <si>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</si>
  <si>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</si>
  <si>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</si>
  <si>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</si>
  <si>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</si>
  <si>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</si>
  <si>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</si>
  <si>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</si>
  <si>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</si>
  <si>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</si>
  <si>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</si>
  <si>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</si>
  <si>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</si>
  <si>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</si>
  <si>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</si>
  <si>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</si>
  <si>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</si>
  <si>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</si>
  <si>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</si>
  <si>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</si>
  <si>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</si>
  <si>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</si>
  <si>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</si>
  <si>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</si>
  <si>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</si>
  <si>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</si>
  <si>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</si>
  <si>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</si>
  <si>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</si>
  <si>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</si>
  <si>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</si>
  <si>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</si>
  <si>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</si>
  <si>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</si>
  <si>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</si>
  <si>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</si>
  <si>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</si>
  <si>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</si>
  <si>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</si>
  <si>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</si>
  <si>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</si>
  <si>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</si>
  <si>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</si>
  <si>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</si>
  <si>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</si>
  <si>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</si>
  <si>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</si>
  <si>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</si>
  <si>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</si>
  <si>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</si>
  <si>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</si>
  <si>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</si>
  <si>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</si>
  <si>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</si>
  <si>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</si>
  <si>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</si>
  <si>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</si>
  <si>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</si>
  <si>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</si>
  <si>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</si>
  <si>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</si>
  <si>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</si>
  <si>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</si>
  <si>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</si>
  <si>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</si>
  <si>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</si>
  <si>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</si>
  <si>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</si>
  <si>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</si>
  <si>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</si>
  <si>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</si>
  <si>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</si>
  <si>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</si>
  <si>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</si>
  <si>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</si>
  <si>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</si>
  <si>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</si>
  <si>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</si>
  <si>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</si>
  <si>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</si>
  <si>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</si>
  <si>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</si>
  <si>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</si>
  <si>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</si>
  <si>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</si>
  <si>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</si>
  <si>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</si>
  <si>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</si>
  <si>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</si>
  <si>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</si>
  <si>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</si>
  <si>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</si>
  <si>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</si>
  <si>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</si>
  <si>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</si>
  <si>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</si>
  <si>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</si>
  <si>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</si>
  <si>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</si>
  <si>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</si>
  <si>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</si>
  <si>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</si>
  <si>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</si>
  <si>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</si>
  <si>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</si>
  <si>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</si>
  <si>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</si>
  <si>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</si>
  <si>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</si>
  <si>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</si>
  <si>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</si>
  <si>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</si>
  <si>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</si>
  <si>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</si>
  <si>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</si>
  <si>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</si>
  <si>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</si>
  <si>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</si>
  <si>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</si>
  <si>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</si>
  <si>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</si>
  <si>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</si>
  <si>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</si>
  <si>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</si>
  <si>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</si>
  <si>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</si>
  <si>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</si>
  <si>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</si>
  <si>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</si>
  <si>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</si>
  <si>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</si>
  <si>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</si>
  <si>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</si>
  <si>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</si>
  <si>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</si>
  <si>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</si>
  <si>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</si>
  <si>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</si>
  <si>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</si>
  <si>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</si>
  <si>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</si>
  <si>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</si>
  <si>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</si>
  <si>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</si>
  <si>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</si>
  <si>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</si>
  <si>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</si>
  <si>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</si>
  <si>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</si>
  <si>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</si>
  <si>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</si>
  <si>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</si>
  <si>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</si>
  <si>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</si>
  <si>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</si>
  <si>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</si>
  <si>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</si>
  <si>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</si>
  <si>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</si>
  <si>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</si>
  <si>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</si>
  <si>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</si>
  <si>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</si>
  <si>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</si>
  <si>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</si>
  <si>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</si>
  <si>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</si>
  <si>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</si>
  <si>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</si>
  <si>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</si>
  <si>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</si>
  <si>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</si>
  <si>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</si>
  <si>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</si>
  <si>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</si>
  <si>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</si>
  <si>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</si>
  <si>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</si>
  <si>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</si>
  <si>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</si>
  <si>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</si>
  <si>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</si>
  <si>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</si>
  <si>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</si>
  <si>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</si>
  <si>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</si>
  <si>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</si>
  <si>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</si>
  <si>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</si>
  <si>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</si>
  <si>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</si>
  <si>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</si>
  <si>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</si>
  <si>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</si>
  <si>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</si>
  <si>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</si>
  <si>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</si>
  <si>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</si>
  <si>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</si>
  <si>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</si>
  <si>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</si>
  <si>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</si>
  <si>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</si>
  <si>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</si>
  <si>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</si>
  <si>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</si>
  <si>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</si>
  <si>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</si>
  <si>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</si>
  <si>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</si>
  <si>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</si>
  <si>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</si>
  <si>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</si>
  <si>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</si>
  <si>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</si>
  <si>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</si>
  <si>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</si>
  <si>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</si>
  <si>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</si>
  <si>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</si>
  <si>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</si>
  <si>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</si>
  <si>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</si>
  <si>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</si>
  <si>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</si>
  <si>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</si>
  <si>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</si>
  <si>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</si>
  <si>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</si>
  <si>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</si>
  <si>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</si>
  <si>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</si>
  <si>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</si>
  <si>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</si>
  <si>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</si>
  <si>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</si>
  <si>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</si>
  <si>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</si>
  <si>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</si>
  <si>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</si>
  <si>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</si>
  <si>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</si>
  <si>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</si>
  <si>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</si>
  <si>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</si>
  <si>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</si>
  <si>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</si>
  <si>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</si>
  <si>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</si>
  <si>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</si>
  <si>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</si>
  <si>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</si>
  <si>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</si>
  <si>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</si>
  <si>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</si>
  <si>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</si>
  <si>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</si>
  <si>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</si>
  <si>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</si>
  <si>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</si>
  <si>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</si>
  <si>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</si>
  <si>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</si>
  <si>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</si>
  <si>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</si>
  <si>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</si>
  <si>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</si>
  <si>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</si>
  <si>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</si>
  <si>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</si>
  <si>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</si>
  <si>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</si>
  <si>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</si>
  <si>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</si>
  <si>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</si>
  <si>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</si>
  <si>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</si>
  <si>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</si>
  <si>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</si>
  <si>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</si>
  <si>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</si>
  <si>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</si>
  <si>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</si>
  <si>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</si>
  <si>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</si>
  <si>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</si>
  <si>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</si>
  <si>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</si>
  <si>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</si>
  <si>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</si>
  <si>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</si>
  <si>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</si>
  <si>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</si>
  <si>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</si>
  <si>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</si>
  <si>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</si>
  <si>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</si>
  <si>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</si>
  <si>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</si>
  <si>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</si>
  <si>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</si>
  <si>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</si>
  <si>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</si>
  <si>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</si>
  <si>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</si>
  <si>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</si>
  <si>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</si>
  <si>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</si>
  <si>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</si>
  <si>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</si>
  <si>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</si>
  <si>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</si>
  <si>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</si>
  <si>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</si>
  <si>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</si>
  <si>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</si>
  <si>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</si>
  <si>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</si>
  <si>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</si>
  <si>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</si>
  <si>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</si>
  <si>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</si>
  <si>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</si>
  <si>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</si>
  <si>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</si>
  <si>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</si>
  <si>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</si>
  <si>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</si>
  <si>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</si>
  <si>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</si>
  <si>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</si>
  <si>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</si>
  <si>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</si>
  <si>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</si>
  <si>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</si>
  <si>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</si>
  <si>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</si>
  <si>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</si>
  <si>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</si>
  <si>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</si>
  <si>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</si>
  <si>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</si>
  <si>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</si>
  <si>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</si>
  <si>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</si>
  <si>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</si>
  <si>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</si>
  <si>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</si>
  <si>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</si>
  <si>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</si>
  <si>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</si>
  <si>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</si>
  <si>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</si>
  <si>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</si>
  <si>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</si>
  <si>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</si>
  <si>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</si>
  <si>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</si>
  <si>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</si>
  <si>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</si>
  <si>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</si>
  <si>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</si>
  <si>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</si>
  <si>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</si>
  <si>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</si>
  <si>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</si>
  <si>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</si>
  <si>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</si>
  <si>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</si>
  <si>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</si>
  <si>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</si>
  <si>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</si>
  <si>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</si>
  <si>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</si>
  <si>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</si>
  <si>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</si>
  <si>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</si>
  <si>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</si>
  <si>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</si>
  <si>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</si>
  <si>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</si>
  <si>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</si>
  <si>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</si>
  <si>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</si>
  <si>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</si>
  <si>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</si>
  <si>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</si>
  <si>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</si>
  <si>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</si>
  <si>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</si>
  <si>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</si>
  <si>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</si>
  <si>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</si>
  <si>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</si>
  <si>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</si>
  <si>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</si>
  <si>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</si>
  <si>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</si>
  <si>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</si>
  <si>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</si>
  <si>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</si>
  <si>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</si>
  <si>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</si>
  <si>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</si>
  <si>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</si>
  <si>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</si>
  <si>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</si>
  <si>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</si>
  <si>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</si>
  <si>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</si>
  <si>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</si>
  <si>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</si>
  <si>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</si>
  <si>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</si>
  <si>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</si>
  <si>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</si>
  <si>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</si>
  <si>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</si>
  <si>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</si>
  <si>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</si>
  <si>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</si>
  <si>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</si>
  <si>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</si>
  <si>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</si>
  <si>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</si>
  <si>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</si>
  <si>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</si>
  <si>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</si>
  <si>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</si>
  <si>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</si>
  <si>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</si>
  <si>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</si>
  <si>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</si>
  <si>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</si>
  <si>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</si>
  <si>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</si>
  <si>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</si>
  <si>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</si>
  <si>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</si>
  <si>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</si>
  <si>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</si>
  <si>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</si>
  <si>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</si>
  <si>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</si>
  <si>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</si>
  <si>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</si>
  <si>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</si>
  <si>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</si>
  <si>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</si>
  <si>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</si>
  <si>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</si>
  <si>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</si>
  <si>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</si>
  <si>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</si>
  <si>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</si>
  <si>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</si>
  <si>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</si>
  <si>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</si>
  <si>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</si>
  <si>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</si>
  <si>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</si>
  <si>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</si>
  <si>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</si>
  <si>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</si>
  <si>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</si>
  <si>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</si>
  <si>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</si>
  <si>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</si>
  <si>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</si>
  <si>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</si>
  <si>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</si>
  <si>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</si>
  <si>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</si>
  <si>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</si>
  <si>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</si>
  <si>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</si>
  <si>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</si>
  <si>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</si>
  <si>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</si>
  <si>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</si>
  <si>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</si>
  <si>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</si>
  <si>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</si>
  <si>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</si>
  <si>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</si>
  <si>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</si>
  <si>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</si>
  <si>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</si>
  <si>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</si>
  <si>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</si>
  <si>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</si>
  <si>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</si>
  <si>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</si>
  <si>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</si>
  <si>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</si>
  <si>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</si>
  <si>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</si>
  <si>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</si>
  <si>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</si>
  <si>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</si>
  <si>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</si>
  <si>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</si>
  <si>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</si>
  <si>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</si>
  <si>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</si>
  <si>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</si>
  <si>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</si>
  <si>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</si>
  <si>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</si>
  <si>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</si>
  <si>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</si>
  <si>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</si>
  <si>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</si>
  <si>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</si>
  <si>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</si>
  <si>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</si>
  <si>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</si>
  <si>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</si>
  <si>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</si>
  <si>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</si>
  <si>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</si>
  <si>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</si>
  <si>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</si>
  <si>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</si>
  <si>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</si>
  <si>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</si>
  <si>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</si>
  <si>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</si>
  <si>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</si>
  <si>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</si>
  <si>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</si>
  <si>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</si>
  <si>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</si>
  <si>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</si>
  <si>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</si>
  <si>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</si>
  <si>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</si>
  <si>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</si>
  <si>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</si>
  <si>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</si>
  <si>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</si>
  <si>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</si>
  <si>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</si>
  <si>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</si>
  <si>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</si>
  <si>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</si>
  <si>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</si>
  <si>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</si>
  <si>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</si>
  <si>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</si>
  <si>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</si>
  <si>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</si>
  <si>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</si>
  <si>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</si>
  <si>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</si>
  <si>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</si>
  <si>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</si>
  <si>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</si>
  <si>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</si>
  <si>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</si>
  <si>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</si>
  <si>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</si>
  <si>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</si>
  <si>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</si>
  <si>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</si>
  <si>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</si>
  <si>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</si>
  <si>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</si>
  <si>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</si>
  <si>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</si>
  <si>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</si>
  <si>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</si>
  <si>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</si>
  <si>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</si>
  <si>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</si>
  <si>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</si>
  <si>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</si>
  <si>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</si>
  <si>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</si>
  <si>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</si>
  <si>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</si>
  <si>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</si>
  <si>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</si>
  <si>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</si>
  <si>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</si>
  <si>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</si>
  <si>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</si>
  <si>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</si>
  <si>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</si>
  <si>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</si>
  <si>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</si>
  <si>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</si>
  <si>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</si>
  <si>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</si>
  <si>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</si>
  <si>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</si>
  <si>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</si>
  <si>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</si>
  <si>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</si>
  <si>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</si>
  <si>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</si>
  <si>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</si>
  <si>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</si>
  <si>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</si>
  <si>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</si>
  <si>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</si>
  <si>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</si>
  <si>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</si>
  <si>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</si>
  <si>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</si>
  <si>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</si>
  <si>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</si>
  <si>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</si>
  <si>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</si>
  <si>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</si>
  <si>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</si>
  <si>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</si>
  <si>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</si>
  <si>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</si>
  <si>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</si>
  <si>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</si>
  <si>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</si>
  <si>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</si>
  <si>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</si>
  <si>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</si>
  <si>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</si>
  <si>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</si>
  <si>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</si>
  <si>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</si>
  <si>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</si>
  <si>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</si>
  <si>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</si>
  <si>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</si>
  <si>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</si>
  <si>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</si>
  <si>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</si>
  <si>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</si>
  <si>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</si>
  <si>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</si>
  <si>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</si>
  <si>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</si>
  <si>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</si>
  <si>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</si>
  <si>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</si>
  <si>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</si>
  <si>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</si>
  <si>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</si>
  <si>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</si>
  <si>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</si>
  <si>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</si>
  <si>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</si>
  <si>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</si>
  <si>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</si>
  <si>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</si>
  <si>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</si>
  <si>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</si>
  <si>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</si>
  <si>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</si>
  <si>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</si>
  <si>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</si>
  <si>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</si>
  <si>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</si>
  <si>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</si>
  <si>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</si>
  <si>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</si>
  <si>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</si>
  <si>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</si>
  <si>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</si>
  <si>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</si>
  <si>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</si>
  <si>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</si>
  <si>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</si>
  <si>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</si>
  <si>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</si>
  <si>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</si>
  <si>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</si>
  <si>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</si>
  <si>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</si>
  <si>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</si>
  <si>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</si>
  <si>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</si>
  <si>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</si>
  <si>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</si>
  <si>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</si>
  <si>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</si>
  <si>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</si>
  <si>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</si>
  <si>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</si>
  <si>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</si>
  <si>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</si>
  <si>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</si>
  <si>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</si>
  <si>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</si>
  <si>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</si>
  <si>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</si>
  <si>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</si>
  <si>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</si>
  <si>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</si>
  <si>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</si>
  <si>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</si>
  <si>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</si>
  <si>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</si>
  <si>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</si>
  <si>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</si>
  <si>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</si>
  <si>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</si>
  <si>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</si>
  <si>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</si>
  <si>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</si>
  <si>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</si>
  <si>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</si>
  <si>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</si>
  <si>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</si>
  <si>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</si>
  <si>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</si>
  <si>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</si>
  <si>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</si>
  <si>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</si>
  <si>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</si>
  <si>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</si>
  <si>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</si>
  <si>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</si>
  <si>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</si>
  <si>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</si>
  <si>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</si>
  <si>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</si>
  <si>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</si>
  <si>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</si>
  <si>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</si>
  <si>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</si>
  <si>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</si>
  <si>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</si>
  <si>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</si>
  <si>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</si>
  <si>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</si>
  <si>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</si>
  <si>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</si>
  <si>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</si>
  <si>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</si>
  <si>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</si>
  <si>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</si>
  <si>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</si>
  <si>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</si>
  <si>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</si>
  <si>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</si>
  <si>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</si>
  <si>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</si>
  <si>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</si>
  <si>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</si>
  <si>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</si>
  <si>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</si>
  <si>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</si>
  <si>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</si>
  <si>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</si>
  <si>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</si>
  <si>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</si>
  <si>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</si>
  <si>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</si>
  <si>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</si>
  <si>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</si>
  <si>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</si>
  <si>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</si>
  <si>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</si>
  <si>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</si>
  <si>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</si>
  <si>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</si>
  <si>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</si>
  <si>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</si>
  <si>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</si>
  <si>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</si>
  <si>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</si>
  <si>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</si>
  <si>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</si>
  <si>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</si>
  <si>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</si>
  <si>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</si>
  <si>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</si>
  <si>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</si>
  <si>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</si>
  <si>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</si>
  <si>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</si>
  <si>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</si>
  <si>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</si>
  <si>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</si>
  <si>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</si>
  <si>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</si>
  <si>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</si>
  <si>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</si>
  <si>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</si>
  <si>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</si>
  <si>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</si>
  <si>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</si>
  <si>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</si>
  <si>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</si>
  <si>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</si>
  <si>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</si>
  <si>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</si>
  <si>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</si>
  <si>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</si>
  <si>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</si>
  <si>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</si>
  <si>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</si>
  <si>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</si>
  <si>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</si>
  <si>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</si>
  <si>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</si>
  <si>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</si>
  <si>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</si>
  <si>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</si>
  <si>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</si>
  <si>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</si>
  <si>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</si>
  <si>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</si>
  <si>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</si>
  <si>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</si>
  <si>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</si>
  <si>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</si>
  <si>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</si>
  <si>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</si>
  <si>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</si>
  <si>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</si>
  <si>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</si>
  <si>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</si>
  <si>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</si>
  <si>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</si>
  <si>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</si>
  <si>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</si>
  <si>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</si>
  <si>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</si>
  <si>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</si>
  <si>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</si>
  <si>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</si>
  <si>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</si>
  <si>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</si>
  <si>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</si>
  <si>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</si>
  <si>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</si>
  <si>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</si>
  <si>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</si>
  <si>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</si>
  <si>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</si>
  <si>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</si>
  <si>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</si>
  <si>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</si>
  <si>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</si>
  <si>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</si>
  <si>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</si>
  <si>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</si>
  <si>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</si>
  <si>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</si>
  <si>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</si>
  <si>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</si>
  <si>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</si>
  <si>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</si>
  <si>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</si>
  <si>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</si>
  <si>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</si>
  <si>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</si>
  <si>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</si>
  <si>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</si>
  <si>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</si>
  <si>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</si>
  <si>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</si>
  <si>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</si>
  <si>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</si>
  <si>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</si>
  <si>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</si>
  <si>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</si>
  <si>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</si>
  <si>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</si>
  <si>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</si>
  <si>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</si>
  <si>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</si>
  <si>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</si>
  <si>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</si>
  <si>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</si>
  <si>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</si>
  <si>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</si>
  <si>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</si>
  <si>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</si>
  <si>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</si>
  <si>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</si>
  <si>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</si>
  <si>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</si>
  <si>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</si>
  <si>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</si>
  <si>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</si>
  <si>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</si>
  <si>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</si>
  <si>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</si>
  <si>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</si>
  <si>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</si>
  <si>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</si>
  <si>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</si>
  <si>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</si>
  <si>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</si>
  <si>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</si>
  <si>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</si>
  <si>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</si>
  <si>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</si>
  <si>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</si>
  <si>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</si>
  <si>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</si>
  <si>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</si>
  <si>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</si>
  <si>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</si>
  <si>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</si>
  <si>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</si>
  <si>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</si>
  <si>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</si>
  <si>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</si>
  <si>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</si>
  <si>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</si>
  <si>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</si>
  <si>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</si>
  <si>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</si>
  <si>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</si>
  <si>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</si>
  <si>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</si>
  <si>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</si>
  <si>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</si>
  <si>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</si>
  <si>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</si>
  <si>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</si>
  <si>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</si>
  <si>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</si>
  <si>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</si>
  <si>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</si>
  <si>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</si>
  <si>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</si>
  <si>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</si>
  <si>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</si>
  <si>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</si>
  <si>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</si>
  <si>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</si>
  <si>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</si>
  <si>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</si>
  <si>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</si>
  <si>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</si>
  <si>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</si>
  <si>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</si>
  <si>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</si>
  <si>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</si>
  <si>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</si>
  <si>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</si>
  <si>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</si>
  <si>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</si>
  <si>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</si>
  <si>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</si>
  <si>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</si>
  <si>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</si>
  <si>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</si>
  <si>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</si>
  <si>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</si>
  <si>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</si>
  <si>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</si>
  <si>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</si>
  <si>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</si>
  <si>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</si>
  <si>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</si>
  <si>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</si>
  <si>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</si>
  <si>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</si>
  <si>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</si>
  <si>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</si>
  <si>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</si>
  <si>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</si>
  <si>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</si>
  <si>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</si>
  <si>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</si>
  <si>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</si>
  <si>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</si>
  <si>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</si>
  <si>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</si>
  <si>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</si>
  <si>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</si>
  <si>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</si>
  <si>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</si>
  <si>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</si>
  <si>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</si>
  <si>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</si>
  <si>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</si>
  <si>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</si>
  <si>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</si>
  <si>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</si>
  <si>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</si>
  <si>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</si>
  <si>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</si>
  <si>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</si>
  <si>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</si>
  <si>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</si>
  <si>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</si>
  <si>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</si>
  <si>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</si>
  <si>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</si>
  <si>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</si>
  <si>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</si>
  <si>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</si>
  <si>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</si>
  <si>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</si>
  <si>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</si>
  <si>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</si>
  <si>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</si>
  <si>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</si>
  <si>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</si>
  <si>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</si>
  <si>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</si>
  <si>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</si>
  <si>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</si>
  <si>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</si>
  <si>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</si>
  <si>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</si>
  <si>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</si>
  <si>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</si>
  <si>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</si>
  <si>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</si>
  <si>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</si>
  <si>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</si>
  <si>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</si>
  <si>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</si>
  <si>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</si>
  <si>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</si>
  <si>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</si>
  <si>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</si>
  <si>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</si>
  <si>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</si>
  <si>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</si>
  <si>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</si>
  <si>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</si>
  <si>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</si>
  <si>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</si>
  <si>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</si>
  <si>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</si>
  <si>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</si>
  <si>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</si>
  <si>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</si>
  <si>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</si>
  <si>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</si>
  <si>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</si>
  <si>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</si>
  <si>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</si>
  <si>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</si>
  <si>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</si>
  <si>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</si>
  <si>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</si>
  <si>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</si>
  <si>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</si>
  <si>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</si>
  <si>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</si>
  <si>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</si>
  <si>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</si>
  <si>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</si>
  <si>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</si>
  <si>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</si>
  <si>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</si>
  <si>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</si>
  <si>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</si>
  <si>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</si>
  <si>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</si>
  <si>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</si>
  <si>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</si>
  <si>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</si>
  <si>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</si>
  <si>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</si>
  <si>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</si>
  <si>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</si>
  <si>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</si>
  <si>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</si>
  <si>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</si>
  <si>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</si>
  <si>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</si>
  <si>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</si>
  <si>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</si>
  <si>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</si>
  <si>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</si>
  <si>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</si>
  <si>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</si>
  <si>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</si>
  <si>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</si>
  <si>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</si>
  <si>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</si>
  <si>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</si>
  <si>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</si>
  <si>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</si>
  <si>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</si>
  <si>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</si>
  <si>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</si>
  <si>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</si>
  <si>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</si>
  <si>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</si>
  <si>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</si>
  <si>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</si>
  <si>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</si>
  <si>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</si>
  <si>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</si>
  <si>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</si>
  <si>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</si>
  <si>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</si>
  <si>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</si>
  <si>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</si>
  <si>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</si>
  <si>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</si>
  <si>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</si>
  <si>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</si>
  <si>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</si>
  <si>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</si>
  <si>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</si>
  <si>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</si>
  <si>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</si>
  <si>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</si>
  <si>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</si>
  <si>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</si>
  <si>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</si>
  <si>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</si>
  <si>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</si>
  <si>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</si>
  <si>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</si>
  <si>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</si>
  <si>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</si>
  <si>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</si>
  <si>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</si>
  <si>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</si>
  <si>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</si>
  <si>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</si>
  <si>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</si>
  <si>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</si>
  <si>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</si>
  <si>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</si>
  <si>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</si>
  <si>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</si>
  <si>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</si>
  <si>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</si>
  <si>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</si>
  <si>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</si>
  <si>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</si>
  <si>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</si>
  <si>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</si>
  <si>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</si>
  <si>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</si>
  <si>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</si>
  <si>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</si>
  <si>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</si>
  <si>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</si>
  <si>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</si>
  <si>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</si>
  <si>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</si>
  <si>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</si>
  <si>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</si>
  <si>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</si>
  <si>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</si>
  <si>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</si>
  <si>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</si>
  <si>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</si>
  <si>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</si>
  <si>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</si>
  <si>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</si>
  <si>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</si>
  <si>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</si>
  <si>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</si>
  <si>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</si>
  <si>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</si>
  <si>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</si>
  <si>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</si>
  <si>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</si>
  <si>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</si>
  <si>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</si>
  <si>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</si>
  <si>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</si>
  <si>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</si>
  <si>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</si>
  <si>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</si>
  <si>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</si>
  <si>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</si>
  <si>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</si>
  <si>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</si>
  <si>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</si>
  <si>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</si>
  <si>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</si>
  <si>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</si>
  <si>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</si>
  <si>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</si>
  <si>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</si>
  <si>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</si>
  <si>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</si>
  <si>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</si>
  <si>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</si>
  <si>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</si>
  <si>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</si>
  <si>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</si>
  <si>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</si>
  <si>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</si>
  <si>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</si>
  <si>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</si>
  <si>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</si>
  <si>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</si>
  <si>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</si>
  <si>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</si>
  <si>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</si>
  <si>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</si>
  <si>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</si>
  <si>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</si>
  <si>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</si>
  <si>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</si>
  <si>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</si>
  <si>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</si>
  <si>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</si>
  <si>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</si>
  <si>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</si>
  <si>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</si>
  <si>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</si>
  <si>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</si>
  <si>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</si>
  <si>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</si>
  <si>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</si>
  <si>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</si>
  <si>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</si>
  <si>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</si>
  <si>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</si>
  <si>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</si>
  <si>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</si>
  <si>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</si>
  <si>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</si>
  <si>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</si>
  <si>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</si>
  <si>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</si>
  <si>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</si>
  <si>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</si>
  <si>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</si>
  <si>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</si>
  <si>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</si>
  <si>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</si>
  <si>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</si>
  <si>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</si>
  <si>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</si>
  <si>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</si>
  <si>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</si>
  <si>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</si>
  <si>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</si>
  <si>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</si>
  <si>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</si>
  <si>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</si>
  <si>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</si>
  <si>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</si>
  <si>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</si>
  <si>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</si>
  <si>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</si>
  <si>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</si>
  <si>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</si>
  <si>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</si>
  <si>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</si>
  <si>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</si>
  <si>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</si>
  <si>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</si>
  <si>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</si>
  <si>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</si>
  <si>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</si>
  <si>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</si>
  <si>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</si>
  <si>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</si>
  <si>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</si>
  <si>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</si>
  <si>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</si>
  <si>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</si>
  <si>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</si>
  <si>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</si>
  <si>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</si>
  <si>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</si>
  <si>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</si>
  <si>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</si>
  <si>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</si>
  <si>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</si>
  <si>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</si>
  <si>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</si>
  <si>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</si>
  <si>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</si>
  <si>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</si>
  <si>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</si>
  <si>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</si>
  <si>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</si>
  <si>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</si>
  <si>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</si>
  <si>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</si>
  <si>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</si>
  <si>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</si>
  <si>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</si>
  <si>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</si>
  <si>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</si>
  <si>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</si>
  <si>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</si>
  <si>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</si>
  <si>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</si>
  <si>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</si>
  <si>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</si>
  <si>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</si>
  <si>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</si>
  <si>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</si>
  <si>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</si>
  <si>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</si>
  <si>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</si>
  <si>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</si>
  <si>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</si>
  <si>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</si>
  <si>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</si>
  <si>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</si>
  <si>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</si>
  <si>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</si>
  <si>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</si>
  <si>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</si>
  <si>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</si>
  <si>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</si>
  <si>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</si>
  <si>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</si>
  <si>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</si>
  <si>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</si>
  <si>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</si>
  <si>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</si>
  <si>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</si>
  <si>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</si>
  <si>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</si>
  <si>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</si>
  <si>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</si>
  <si>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</si>
  <si>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</si>
  <si>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</si>
  <si>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</si>
  <si>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</si>
  <si>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</si>
  <si>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</si>
  <si>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</si>
  <si>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</si>
  <si>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</si>
  <si>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</si>
  <si>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</si>
  <si>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</si>
  <si>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</si>
  <si>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</si>
  <si>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</si>
  <si>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</si>
  <si>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</si>
  <si>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</si>
  <si>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</si>
  <si>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</si>
  <si>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</si>
  <si>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</si>
  <si>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</si>
  <si>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</si>
  <si>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</si>
  <si>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</si>
  <si>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</si>
  <si>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</si>
  <si>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</si>
  <si>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</si>
  <si>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</si>
  <si>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</si>
  <si>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</si>
  <si>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</si>
  <si>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</si>
  <si>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</si>
  <si>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</si>
  <si>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</si>
  <si>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</si>
  <si>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</si>
  <si>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</si>
  <si>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</si>
  <si>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</si>
  <si>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</si>
  <si>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</si>
  <si>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</si>
  <si>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</si>
  <si>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</si>
  <si>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</si>
  <si>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</si>
  <si>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</si>
  <si>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</si>
  <si>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</si>
  <si>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</si>
  <si>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</si>
  <si>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</si>
  <si>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</si>
  <si>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</si>
  <si>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</si>
  <si>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</si>
  <si>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</si>
  <si>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</si>
  <si>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</si>
  <si>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</si>
  <si>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</si>
  <si>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</si>
  <si>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</si>
  <si>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</si>
  <si>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</si>
  <si>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</si>
  <si>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</si>
  <si>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</si>
  <si>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</si>
  <si>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</si>
  <si>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</si>
  <si>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</si>
  <si>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</si>
  <si>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</si>
  <si>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</si>
  <si>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</si>
  <si>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</si>
  <si>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</si>
  <si>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</si>
  <si>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</si>
  <si>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</si>
  <si>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</si>
  <si>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</si>
  <si>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</si>
  <si>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</si>
  <si>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</si>
  <si>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</si>
  <si>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</si>
  <si>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</si>
  <si>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</si>
  <si>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</si>
  <si>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</si>
  <si>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</si>
  <si>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</si>
  <si>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</si>
  <si>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</si>
  <si>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</si>
  <si>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</si>
  <si>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</si>
  <si>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</si>
  <si>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</si>
  <si>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</si>
  <si>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</si>
  <si>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</si>
  <si>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</si>
  <si>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</si>
  <si>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</si>
  <si>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</si>
  <si>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</si>
  <si>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</si>
  <si>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</si>
  <si>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</si>
  <si>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</si>
  <si>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</si>
  <si>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</si>
  <si>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</si>
  <si>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</si>
  <si>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</si>
  <si>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</si>
  <si>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</si>
  <si>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</si>
  <si>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</si>
  <si>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</si>
  <si>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</si>
  <si>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</si>
  <si>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</si>
  <si>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</si>
  <si>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</si>
  <si>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</si>
  <si>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</si>
  <si>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</si>
  <si>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</si>
  <si>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</si>
  <si>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</si>
  <si>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</si>
  <si>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</si>
  <si>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</si>
  <si>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</si>
  <si>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</si>
  <si>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</si>
  <si>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</si>
  <si>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</si>
  <si>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</si>
  <si>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</si>
  <si>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</si>
  <si>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</si>
  <si>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</si>
  <si>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</si>
  <si>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</si>
  <si>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</si>
  <si>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</si>
  <si>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</si>
  <si>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</si>
  <si>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</si>
  <si>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</si>
  <si>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</si>
  <si>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</si>
  <si>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</si>
  <si>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</si>
  <si>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</si>
  <si>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</si>
  <si>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</si>
  <si>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</si>
  <si>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</si>
  <si>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</si>
  <si>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</si>
  <si>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</si>
  <si>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</si>
  <si>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</si>
  <si>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</si>
  <si>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</si>
  <si>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</si>
  <si>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</si>
  <si>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</si>
  <si>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</si>
  <si>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</si>
  <si>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</si>
  <si>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</si>
  <si>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</si>
  <si>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</si>
  <si>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</si>
  <si>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</si>
  <si>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</si>
  <si>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</si>
  <si>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</si>
  <si>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</si>
  <si>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</si>
  <si>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</si>
  <si>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</si>
  <si>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</si>
  <si>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</si>
  <si>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</si>
  <si>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</si>
  <si>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</si>
  <si>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</si>
  <si>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</si>
  <si>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</si>
  <si>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</si>
  <si>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</si>
  <si>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</si>
  <si>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</si>
  <si>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</si>
  <si>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</si>
  <si>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</si>
  <si>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</si>
  <si>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</si>
  <si>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</si>
  <si>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</si>
  <si>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</si>
  <si>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</si>
  <si>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</si>
  <si>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</si>
  <si>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</si>
  <si>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</si>
  <si>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</si>
  <si>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</si>
  <si>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</si>
  <si>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</si>
  <si>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</si>
  <si>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</si>
  <si>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</si>
  <si>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</si>
  <si>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</si>
  <si>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</si>
  <si>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</si>
  <si>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</si>
  <si>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</si>
  <si>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</si>
  <si>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</si>
  <si>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</si>
  <si>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</si>
  <si>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</si>
  <si>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</si>
  <si>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</si>
  <si>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</si>
  <si>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</si>
  <si>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</si>
  <si>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</si>
  <si>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</si>
  <si>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</si>
  <si>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</si>
  <si>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</si>
  <si>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</si>
  <si>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</si>
  <si>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</si>
  <si>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</si>
  <si>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</si>
  <si>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</si>
  <si>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</si>
  <si>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</si>
  <si>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</si>
  <si>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</si>
  <si>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</si>
  <si>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</si>
  <si>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</si>
  <si>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</si>
  <si>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</si>
  <si>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</si>
  <si>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</si>
  <si>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</si>
  <si>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</si>
  <si>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</si>
  <si>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</si>
  <si>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</si>
  <si>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</si>
  <si>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</si>
  <si>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</si>
  <si>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</si>
  <si>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</si>
  <si>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</si>
  <si>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</si>
  <si>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</si>
  <si>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</si>
  <si>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</si>
  <si>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</si>
  <si>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</si>
  <si>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</si>
  <si>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</si>
  <si>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</si>
  <si>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</si>
  <si>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</si>
  <si>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</si>
  <si>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</si>
  <si>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</si>
  <si>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</si>
  <si>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</si>
  <si>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</si>
  <si>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</si>
  <si>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</si>
  <si>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</si>
  <si>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</si>
  <si>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</si>
  <si>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</si>
  <si>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</si>
  <si>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</si>
  <si>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</si>
  <si>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</si>
  <si>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</si>
  <si>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</si>
  <si>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</si>
  <si>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</si>
  <si>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</si>
  <si>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</si>
  <si>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</si>
  <si>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</si>
  <si>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</si>
  <si>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</si>
  <si>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</si>
  <si>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</si>
  <si>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</si>
  <si>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</si>
  <si>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</si>
  <si>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</si>
  <si>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</si>
  <si>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</si>
  <si>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</si>
  <si>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</si>
  <si>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</si>
  <si>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</si>
  <si>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</si>
  <si>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</si>
  <si>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</si>
  <si>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</si>
  <si>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</si>
  <si>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</si>
  <si>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</si>
  <si>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</si>
  <si>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</si>
  <si>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</si>
  <si>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</si>
  <si>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</si>
  <si>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</si>
  <si>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</si>
  <si>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</si>
  <si>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</si>
  <si>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</si>
  <si>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</si>
  <si>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</si>
  <si>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</si>
  <si>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</si>
  <si>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</si>
  <si>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</si>
  <si>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</si>
  <si>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</si>
  <si>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</si>
  <si>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</si>
  <si>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</si>
  <si>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</si>
  <si>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</si>
  <si>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</si>
  <si>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</si>
  <si>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</si>
  <si>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</si>
  <si>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</si>
  <si>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</si>
  <si>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</si>
  <si>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</si>
  <si>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</si>
  <si>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</si>
  <si>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</si>
  <si>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</si>
  <si>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</si>
  <si>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</si>
  <si>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</si>
  <si>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</si>
  <si>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</si>
  <si>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</si>
  <si>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</si>
  <si>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</si>
  <si>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</si>
  <si>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</si>
  <si>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</si>
  <si>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</si>
  <si>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</si>
  <si>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</si>
  <si>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</si>
  <si>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</si>
  <si>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</si>
  <si>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</si>
  <si>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</si>
  <si>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</si>
  <si>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</si>
  <si>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</si>
  <si>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</si>
  <si>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</si>
  <si>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</si>
  <si>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</si>
  <si>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</si>
  <si>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</si>
  <si>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</si>
  <si>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</si>
  <si>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</si>
  <si>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</si>
  <si>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</si>
  <si>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</si>
  <si>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</si>
  <si>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</si>
  <si>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</si>
  <si>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</si>
  <si>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</si>
  <si>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</si>
  <si>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</si>
  <si>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</si>
  <si>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</si>
  <si>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</si>
  <si>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</si>
  <si>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</si>
  <si>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</si>
  <si>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</si>
  <si>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</si>
  <si>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</si>
  <si>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</si>
  <si>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</si>
  <si>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</si>
  <si>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</si>
  <si>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</si>
  <si>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</si>
  <si>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</si>
  <si>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</si>
  <si>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</si>
  <si>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</si>
  <si>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</si>
  <si>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</si>
  <si>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</si>
  <si>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</si>
  <si>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</si>
  <si>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</si>
  <si>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</si>
  <si>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</si>
  <si>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</si>
  <si>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</si>
  <si>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</si>
  <si>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</si>
  <si>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</si>
  <si>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</si>
  <si>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</si>
  <si>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</si>
  <si>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</si>
  <si>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</si>
  <si>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</si>
  <si>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</si>
  <si>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</si>
  <si>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</si>
  <si>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</si>
  <si>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</si>
  <si>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</si>
  <si>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</si>
  <si>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</si>
  <si>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</si>
  <si>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</si>
  <si>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</si>
  <si>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</si>
  <si>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</si>
  <si>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</si>
  <si>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</si>
  <si>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</si>
  <si>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</si>
  <si>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</si>
  <si>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</si>
  <si>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</si>
  <si>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</si>
  <si>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</si>
  <si>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</si>
  <si>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</si>
  <si>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</si>
  <si>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</si>
  <si>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</si>
  <si>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</si>
  <si>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</si>
  <si>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</si>
  <si>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</si>
  <si>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</si>
  <si>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</si>
  <si>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</si>
  <si>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</si>
  <si>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</si>
  <si>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</si>
  <si>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</si>
  <si>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</si>
  <si>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</si>
  <si>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</si>
  <si>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</si>
  <si>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</si>
  <si>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</si>
  <si>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</si>
  <si>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</si>
  <si>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</si>
  <si>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</si>
  <si>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</si>
  <si>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</si>
  <si>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</si>
  <si>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</si>
  <si>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</si>
  <si>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</si>
  <si>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</si>
  <si>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</si>
  <si>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</si>
  <si>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</si>
  <si>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</si>
  <si>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</si>
  <si>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</si>
  <si>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</si>
  <si>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</si>
  <si>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</si>
  <si>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</si>
  <si>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</si>
  <si>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</si>
  <si>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</si>
  <si>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</si>
  <si>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</si>
  <si>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</si>
  <si>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</si>
  <si>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</si>
  <si>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</si>
  <si>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</si>
  <si>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</si>
  <si>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</si>
  <si>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</si>
  <si>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</si>
  <si>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</si>
  <si>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</si>
  <si>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</si>
  <si>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</si>
  <si>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</si>
  <si>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</si>
  <si>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</si>
  <si>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</si>
  <si>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</si>
  <si>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</si>
  <si>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</si>
  <si>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</si>
  <si>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</si>
  <si>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</si>
  <si>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</si>
  <si>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</si>
  <si>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</si>
  <si>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</si>
  <si>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</si>
  <si>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</si>
  <si>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</si>
  <si>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</si>
  <si>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</si>
  <si>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</si>
  <si>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</si>
  <si>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</si>
  <si>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</si>
  <si>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</si>
  <si>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</si>
  <si>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</si>
  <si>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</si>
  <si>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</si>
  <si>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</si>
  <si>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</si>
  <si>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</si>
  <si>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</si>
  <si>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</si>
  <si>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</si>
  <si>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</si>
  <si>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</si>
  <si>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</si>
  <si>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</si>
  <si>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</si>
  <si>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</si>
  <si>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</si>
  <si>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</si>
  <si>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</si>
  <si>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</si>
  <si>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</si>
  <si>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</si>
  <si>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</si>
  <si>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</si>
  <si>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</si>
  <si>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</si>
  <si>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</si>
  <si>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</si>
  <si>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</si>
  <si>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</si>
  <si>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</si>
  <si>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</si>
  <si>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</si>
  <si>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</si>
  <si>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</si>
  <si>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</si>
  <si>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</si>
  <si>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</si>
  <si>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</si>
  <si>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</si>
  <si>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</si>
  <si>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</si>
  <si>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</si>
  <si>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</si>
  <si>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</si>
  <si>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</si>
  <si>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</si>
  <si>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</si>
  <si>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</si>
  <si>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</si>
  <si>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</si>
  <si>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</si>
  <si>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</si>
  <si>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</si>
  <si>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</si>
  <si>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</si>
  <si>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</si>
  <si>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</si>
  <si>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</si>
  <si>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</si>
  <si>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</si>
  <si>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</si>
  <si>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</si>
  <si>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</si>
  <si>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</si>
  <si>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</si>
  <si>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</si>
  <si>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</si>
  <si>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</si>
  <si>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</si>
  <si>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</si>
  <si>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</si>
  <si>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</si>
  <si>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</si>
  <si>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</si>
  <si>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</si>
  <si>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</si>
  <si>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</si>
  <si>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</si>
  <si>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</si>
  <si>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</si>
  <si>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</si>
  <si>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</si>
  <si>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</si>
  <si>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</si>
  <si>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</si>
  <si>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</si>
  <si>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</si>
  <si>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</si>
  <si>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</si>
  <si>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</si>
  <si>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</si>
  <si>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</si>
  <si>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</si>
  <si>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</si>
  <si>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</si>
  <si>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</si>
  <si>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</si>
  <si>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</si>
  <si>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</si>
  <si>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</si>
  <si>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</si>
  <si>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</si>
  <si>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</si>
  <si>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</si>
  <si>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</si>
  <si>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</si>
  <si>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</si>
  <si>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</si>
  <si>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</si>
  <si>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</si>
  <si>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</si>
  <si>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</si>
  <si>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</si>
  <si>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</si>
  <si>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</si>
  <si>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</si>
  <si>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</si>
  <si>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</si>
  <si>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</si>
  <si>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</si>
  <si>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</si>
  <si>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</si>
  <si>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</si>
  <si>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</si>
  <si>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</si>
  <si>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</si>
  <si>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</si>
  <si>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</si>
  <si>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</si>
  <si>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</si>
  <si>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</si>
  <si>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</si>
  <si>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</si>
  <si>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</si>
  <si>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</si>
  <si>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</si>
  <si>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</si>
  <si>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</si>
  <si>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</si>
  <si>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</si>
  <si>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</si>
  <si>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</si>
  <si>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</si>
  <si>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</si>
  <si>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</si>
  <si>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</si>
  <si>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</si>
  <si>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</si>
  <si>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</si>
  <si>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</si>
  <si>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</si>
  <si>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</si>
  <si>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</si>
  <si>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</si>
  <si>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</si>
  <si>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</si>
  <si>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</si>
  <si>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</si>
  <si>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</si>
  <si>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</si>
  <si>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</si>
  <si>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</si>
  <si>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</si>
  <si>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</si>
  <si>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</si>
  <si>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</si>
  <si>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</si>
  <si>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</si>
  <si>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</si>
  <si>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</si>
  <si>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</si>
  <si>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</si>
  <si>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</si>
  <si>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</si>
  <si>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</si>
  <si>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</si>
  <si>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</si>
  <si>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</si>
  <si>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</si>
  <si>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</si>
  <si>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</si>
  <si>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</si>
  <si>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</si>
  <si>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</si>
  <si>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</si>
  <si>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</si>
  <si>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</si>
  <si>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</si>
  <si>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</si>
  <si>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</si>
  <si>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</si>
  <si>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</si>
  <si>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</si>
  <si>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</si>
  <si>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</si>
  <si>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</si>
  <si>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</si>
  <si>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</si>
  <si>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</si>
  <si>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</si>
  <si>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</si>
  <si>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</si>
  <si>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</si>
  <si>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</si>
  <si>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</si>
  <si>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</si>
  <si>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</si>
  <si>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</si>
  <si>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</si>
  <si>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</si>
  <si>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</si>
  <si>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</si>
  <si>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</si>
  <si>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</si>
  <si>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</si>
  <si>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</si>
  <si>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</si>
  <si>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</si>
  <si>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</si>
  <si>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</si>
  <si>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</si>
  <si>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</si>
  <si>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</si>
  <si>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</si>
  <si>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</si>
  <si>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</si>
  <si>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</si>
  <si>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</si>
  <si>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</si>
  <si>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</si>
  <si>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</si>
  <si>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</si>
  <si>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</si>
  <si>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</si>
  <si>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</si>
  <si>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</si>
  <si>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</si>
  <si>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</si>
  <si>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</si>
  <si>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</si>
  <si>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</si>
  <si>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</si>
  <si>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</si>
  <si>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</si>
  <si>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</si>
  <si>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</si>
  <si>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</si>
  <si>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</si>
  <si>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</si>
  <si>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</si>
  <si>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</si>
  <si>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</si>
  <si>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</si>
  <si>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</si>
  <si>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</si>
  <si>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</si>
  <si>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</si>
  <si>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</si>
  <si>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</si>
  <si>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</si>
  <si>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</si>
  <si>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</si>
  <si>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</si>
  <si>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</si>
  <si>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</si>
  <si>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</si>
  <si>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</si>
  <si>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</si>
  <si>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</si>
  <si>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</si>
  <si>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</si>
  <si>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</si>
  <si>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</si>
  <si>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</si>
  <si>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</si>
  <si>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</si>
  <si>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</si>
  <si>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</si>
  <si>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</si>
  <si>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</si>
  <si>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</si>
  <si>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</si>
  <si>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</si>
  <si>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</si>
  <si>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</si>
  <si>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</si>
  <si>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</si>
  <si>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</si>
  <si>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</si>
  <si>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</si>
  <si>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</si>
  <si>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</si>
  <si>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</si>
  <si>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</si>
  <si>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</si>
  <si>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</si>
  <si>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</si>
  <si>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</si>
  <si>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</si>
  <si>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</si>
  <si>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</si>
  <si>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</si>
  <si>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</si>
  <si>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</si>
  <si>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</si>
  <si>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</si>
  <si>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</si>
  <si>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</si>
  <si>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</si>
  <si>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</si>
  <si>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</si>
  <si>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</si>
  <si>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</si>
  <si>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</si>
  <si>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</si>
  <si>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</si>
  <si>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</si>
  <si>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</si>
  <si>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</si>
  <si>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</si>
  <si>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</si>
  <si>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</si>
  <si>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</si>
  <si>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</si>
  <si>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</si>
  <si>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</si>
  <si>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</si>
  <si>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</si>
  <si>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</si>
  <si>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</si>
  <si>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</si>
  <si>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</si>
  <si>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</si>
  <si>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</si>
  <si>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</si>
  <si>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</si>
  <si>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</si>
  <si>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</si>
  <si>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</si>
  <si>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</si>
  <si>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</si>
  <si>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</si>
  <si>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</si>
  <si>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</si>
  <si>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</si>
  <si>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</si>
  <si>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</si>
  <si>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</si>
  <si>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</si>
  <si>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</si>
  <si>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</si>
  <si>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</si>
  <si>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</si>
  <si>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</si>
  <si>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</si>
  <si>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</si>
  <si>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</si>
  <si>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</si>
  <si>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</si>
  <si>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</si>
  <si>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</si>
  <si>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</si>
  <si>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</si>
  <si>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</si>
  <si>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</si>
  <si>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</si>
  <si>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</si>
  <si>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</si>
  <si>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</si>
  <si>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</si>
  <si>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</si>
  <si>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</si>
  <si>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</si>
  <si>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</si>
  <si>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</si>
  <si>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</si>
  <si>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</si>
  <si>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</si>
  <si>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</si>
  <si>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</si>
  <si>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</si>
  <si>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</si>
  <si>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</si>
  <si>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</si>
  <si>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</si>
  <si>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</si>
  <si>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</si>
  <si>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</si>
  <si>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</si>
  <si>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</si>
  <si>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</si>
  <si>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</si>
  <si>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</si>
  <si>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</si>
  <si>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</si>
  <si>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</si>
  <si>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</si>
  <si>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</si>
  <si>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</si>
  <si>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</si>
  <si>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</si>
  <si>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</si>
  <si>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</si>
  <si>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</si>
  <si>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</si>
  <si>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</si>
  <si>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</si>
  <si>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</si>
  <si>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</si>
  <si>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</si>
  <si>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</si>
  <si>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</si>
  <si>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</si>
  <si>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</si>
  <si>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</si>
  <si>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</si>
  <si>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</si>
  <si>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</si>
  <si>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</si>
  <si>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</si>
  <si>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</si>
  <si>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</si>
  <si>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</si>
  <si>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</si>
  <si>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</si>
  <si>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</si>
  <si>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</si>
  <si>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</si>
  <si>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</si>
  <si>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</si>
  <si>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</si>
  <si>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</si>
  <si>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</si>
  <si>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</si>
  <si>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</si>
  <si>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</si>
  <si>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</si>
  <si>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</si>
  <si>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</si>
  <si>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</si>
  <si>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</si>
  <si>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</si>
  <si>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</si>
  <si>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</si>
  <si>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</si>
  <si>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</si>
  <si>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</si>
  <si>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</si>
  <si>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</si>
  <si>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</si>
  <si>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</si>
  <si>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</si>
  <si>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</si>
  <si>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</si>
  <si>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</si>
  <si>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</si>
  <si>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</si>
  <si>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</si>
  <si>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</si>
  <si>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</si>
  <si>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</si>
  <si>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</si>
  <si>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</si>
  <si>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</si>
  <si>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</si>
  <si>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</si>
  <si>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</si>
  <si>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</si>
  <si>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</si>
  <si>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</si>
  <si>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</si>
  <si>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</si>
  <si>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</si>
  <si>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</si>
  <si>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</si>
  <si>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</si>
  <si>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</si>
  <si>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</si>
  <si>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</si>
  <si>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</si>
  <si>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</si>
  <si>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</si>
  <si>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</si>
  <si>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</si>
  <si>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</si>
  <si>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</si>
  <si>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</si>
  <si>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</si>
  <si>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</si>
  <si>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</si>
  <si>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</si>
  <si>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</si>
  <si>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</si>
  <si>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</si>
  <si>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</si>
  <si>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</si>
  <si>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</si>
  <si>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</si>
  <si>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</si>
  <si>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</si>
  <si>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</si>
  <si>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</si>
  <si>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</si>
  <si>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</si>
  <si>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</si>
  <si>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</si>
  <si>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</si>
  <si>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</si>
  <si>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</si>
  <si>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</si>
  <si>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</si>
  <si>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</si>
  <si>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</si>
  <si>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</si>
  <si>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</si>
  <si>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</si>
  <si>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</si>
  <si>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</si>
  <si>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</si>
  <si>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</si>
  <si>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</si>
  <si>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</si>
  <si>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</si>
  <si>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</si>
  <si>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</si>
  <si>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</si>
  <si>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</si>
  <si>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</si>
  <si>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</si>
  <si>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</si>
  <si>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</si>
  <si>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</si>
  <si>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</si>
  <si>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</si>
  <si>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</si>
  <si>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</si>
  <si>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</si>
  <si>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</si>
  <si>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</si>
  <si>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</si>
  <si>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</si>
  <si>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</si>
  <si>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</si>
  <si>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</si>
  <si>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</si>
  <si>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</si>
  <si>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</si>
  <si>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</si>
  <si>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</si>
  <si>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</si>
  <si>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</si>
  <si>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</si>
  <si>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</si>
  <si>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</si>
  <si>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</si>
  <si>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</si>
  <si>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</si>
  <si>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</si>
  <si>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</si>
  <si>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</si>
  <si>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</si>
  <si>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</si>
  <si>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</si>
  <si>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</si>
  <si>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</si>
  <si>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</si>
  <si>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</si>
  <si>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</si>
  <si>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</si>
  <si>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</si>
  <si>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</si>
  <si>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</si>
  <si>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</si>
  <si>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</si>
  <si>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</si>
  <si>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</si>
  <si>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</si>
  <si>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</si>
  <si>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</si>
  <si>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</si>
  <si>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</si>
  <si>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</si>
  <si>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</si>
  <si>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</si>
  <si>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</si>
  <si>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</si>
  <si>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</si>
  <si>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</si>
  <si>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</si>
  <si>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</si>
  <si>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</si>
  <si>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</si>
  <si>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</si>
  <si>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</si>
  <si>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</si>
  <si>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</si>
  <si>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</si>
  <si>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</si>
  <si>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</si>
  <si>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</si>
  <si>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</si>
  <si>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</si>
  <si>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</si>
  <si>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</si>
  <si>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</si>
  <si>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</si>
  <si>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</si>
  <si>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</si>
  <si>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</si>
  <si>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</si>
  <si>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</si>
  <si>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</si>
  <si>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</si>
  <si>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</si>
  <si>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</si>
  <si>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</si>
  <si>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</si>
  <si>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</si>
  <si>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</si>
  <si>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</si>
  <si>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</si>
  <si>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</si>
  <si>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</si>
  <si>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</si>
  <si>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</si>
  <si>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</si>
  <si>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</si>
  <si>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</si>
  <si>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</si>
  <si>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</si>
  <si>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</si>
  <si>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</si>
  <si>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</si>
  <si>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</si>
  <si>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</si>
  <si>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</si>
  <si>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</si>
  <si>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</si>
  <si>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</si>
  <si>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</si>
  <si>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</si>
  <si>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</si>
  <si>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</si>
  <si>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</si>
  <si>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</si>
  <si>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</si>
  <si>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</si>
  <si>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</si>
  <si>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</si>
  <si>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</si>
  <si>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</si>
  <si>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</si>
  <si>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</si>
  <si>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</si>
  <si>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</si>
  <si>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</si>
  <si>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</si>
  <si>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</si>
  <si>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</si>
  <si>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</si>
  <si>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</si>
  <si>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</si>
  <si>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</si>
  <si>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</si>
  <si>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</si>
  <si>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</si>
  <si>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</si>
  <si>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</si>
  <si>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</si>
  <si>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</si>
  <si>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</si>
  <si>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</si>
  <si>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</si>
  <si>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</si>
  <si>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</si>
  <si>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</si>
  <si>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</si>
  <si>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</si>
  <si>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</si>
  <si>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</si>
  <si>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</si>
  <si>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</si>
  <si>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</si>
  <si>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</si>
  <si>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</si>
  <si>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</si>
  <si>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</si>
  <si>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</si>
  <si>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</si>
  <si>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</si>
  <si>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</si>
  <si>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</si>
  <si>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</si>
  <si>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</si>
  <si>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</si>
  <si>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</si>
  <si>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</si>
  <si>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</si>
  <si>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</si>
  <si>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</si>
  <si>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</si>
  <si>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</si>
  <si>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</si>
  <si>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</si>
  <si>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</si>
  <si>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</si>
  <si>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</si>
  <si>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</si>
  <si>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</si>
  <si>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</si>
  <si>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</si>
  <si>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</si>
  <si>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</si>
  <si>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</si>
  <si>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</si>
  <si>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</si>
  <si>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</si>
  <si>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</si>
  <si>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</si>
  <si>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</si>
  <si>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</si>
  <si>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</si>
  <si>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</si>
  <si>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</si>
  <si>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</si>
  <si>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</si>
  <si>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</si>
  <si>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</si>
  <si>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</si>
  <si>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</si>
  <si>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</si>
  <si>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</si>
  <si>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</si>
  <si>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</si>
  <si>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</si>
  <si>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</si>
  <si>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</si>
  <si>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</si>
  <si>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</si>
  <si>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</si>
  <si>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</si>
  <si>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</si>
  <si>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</si>
  <si>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</si>
  <si>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</si>
  <si>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</si>
  <si>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</si>
  <si>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</si>
  <si>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</si>
  <si>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</si>
  <si>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</si>
  <si>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</si>
  <si>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</si>
  <si>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</si>
  <si>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</si>
  <si>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</si>
  <si>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</si>
  <si>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</si>
  <si>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</si>
  <si>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</si>
  <si>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</si>
  <si>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</si>
  <si>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</si>
  <si>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</si>
  <si>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</si>
  <si>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</si>
  <si>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</si>
  <si>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</si>
  <si>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</si>
  <si>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</si>
  <si>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</si>
  <si>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</si>
  <si>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</si>
  <si>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</si>
  <si>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</si>
  <si>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</si>
  <si>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</si>
  <si>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</si>
  <si>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</si>
  <si>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</si>
  <si>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</si>
  <si>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</si>
  <si>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</si>
  <si>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</si>
  <si>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</si>
  <si>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</si>
  <si>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</si>
  <si>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</si>
  <si>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</si>
  <si>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</si>
  <si>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</si>
  <si>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</si>
  <si>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</si>
  <si>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</si>
  <si>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</si>
  <si>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</si>
  <si>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</si>
  <si>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</si>
  <si>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</si>
  <si>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</si>
  <si>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</si>
  <si>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</si>
  <si>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</si>
  <si>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</si>
  <si>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</si>
  <si>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</si>
  <si>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</si>
  <si>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</si>
  <si>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</si>
  <si>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</si>
  <si>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</si>
  <si>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</si>
  <si>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</si>
  <si>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</si>
  <si>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</si>
  <si>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</si>
  <si>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</si>
  <si>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</si>
  <si>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</si>
  <si>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</si>
  <si>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</si>
  <si>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</si>
  <si>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</si>
  <si>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</si>
  <si>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</si>
  <si>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</si>
  <si>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</si>
  <si>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</si>
  <si>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</si>
  <si>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</si>
  <si>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</si>
  <si>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</si>
  <si>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</si>
  <si>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</si>
  <si>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</si>
  <si>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</si>
  <si>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</si>
  <si>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</si>
  <si>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</si>
  <si>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</si>
  <si>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</si>
  <si>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</si>
  <si>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</si>
  <si>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</si>
  <si>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</si>
  <si>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</si>
  <si>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</si>
  <si>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</si>
  <si>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</si>
  <si>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</si>
  <si>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</si>
  <si>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</si>
  <si>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</si>
  <si>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</si>
  <si>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</si>
  <si>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</si>
  <si>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</si>
  <si>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</si>
  <si>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</si>
  <si>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</si>
  <si>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</si>
  <si>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</si>
  <si>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</si>
  <si>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</si>
  <si>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</si>
  <si>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</si>
  <si>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</si>
  <si>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</si>
  <si>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</si>
  <si>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</si>
  <si>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</si>
  <si>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</si>
  <si>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</si>
  <si>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</si>
  <si>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</si>
  <si>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</si>
  <si>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</si>
  <si>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</si>
  <si>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</si>
  <si>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</si>
  <si>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</si>
  <si>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</si>
  <si>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</si>
  <si>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</si>
  <si>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</si>
  <si>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</si>
  <si>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</si>
  <si>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</si>
  <si>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</si>
  <si>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</si>
  <si>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</si>
  <si>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</si>
  <si>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</si>
  <si>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</si>
  <si>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</si>
  <si>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</si>
  <si>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</si>
  <si>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</si>
  <si>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</si>
  <si>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</si>
  <si>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</si>
  <si>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</si>
  <si>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</si>
  <si>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</si>
  <si>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</si>
  <si>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</si>
  <si>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</si>
  <si>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</si>
  <si>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</si>
  <si>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</si>
  <si>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</si>
  <si>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</si>
  <si>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</si>
  <si>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</si>
  <si>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</si>
  <si>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</si>
  <si>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</si>
  <si>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</si>
  <si>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</si>
  <si>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</si>
  <si>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</si>
  <si>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</si>
  <si>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</si>
  <si>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</si>
  <si>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</si>
  <si>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</si>
  <si>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</si>
  <si>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</si>
  <si>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</si>
  <si>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</si>
  <si>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</si>
  <si>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</si>
  <si>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</si>
  <si>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</si>
  <si>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</si>
  <si>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</si>
  <si>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</si>
  <si>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</si>
  <si>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</si>
  <si>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</si>
  <si>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</si>
  <si>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</si>
  <si>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</si>
  <si>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</si>
  <si>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</si>
  <si>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</si>
  <si>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</si>
  <si>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</si>
  <si>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</si>
  <si>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</si>
  <si>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</si>
  <si>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</si>
  <si>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</si>
  <si>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</si>
  <si>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</si>
  <si>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</si>
  <si>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</si>
  <si>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</si>
  <si>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</si>
  <si>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</si>
  <si>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</si>
  <si>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</si>
  <si>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</si>
  <si>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</si>
  <si>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</si>
  <si>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</si>
  <si>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</si>
  <si>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</si>
  <si>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</si>
  <si>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</si>
  <si>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</si>
  <si>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</si>
  <si>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</si>
  <si>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</si>
  <si>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</si>
  <si>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</si>
  <si>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</si>
  <si>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</si>
  <si>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</si>
  <si>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</si>
  <si>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</si>
  <si>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</si>
  <si>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</si>
  <si>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</si>
  <si>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</si>
  <si>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</si>
  <si>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</si>
  <si>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</si>
  <si>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</si>
  <si>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</si>
  <si>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</si>
  <si>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</si>
  <si>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</si>
  <si>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</si>
  <si>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</si>
  <si>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</si>
  <si>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</si>
  <si>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</si>
  <si>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</si>
  <si>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</si>
  <si>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</si>
  <si>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</si>
  <si>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</si>
  <si>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</si>
  <si>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</si>
  <si>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</si>
  <si>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</si>
  <si>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</si>
  <si>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</si>
  <si>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</si>
  <si>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</si>
  <si>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</si>
  <si>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</si>
  <si>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</si>
  <si>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</si>
  <si>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</si>
  <si>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</si>
  <si>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</si>
  <si>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</si>
  <si>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</si>
  <si>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</si>
  <si>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</si>
  <si>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</si>
  <si>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</si>
  <si>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</si>
  <si>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</si>
  <si>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</si>
  <si>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</si>
  <si>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</si>
  <si>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</si>
  <si>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</si>
  <si>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</si>
  <si>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</si>
  <si>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</si>
  <si>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</si>
  <si>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</si>
  <si>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</si>
  <si>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</si>
  <si>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</si>
  <si>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</si>
  <si>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</si>
  <si>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</si>
  <si>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</si>
  <si>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</si>
  <si>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</si>
  <si>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</si>
  <si>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</si>
  <si>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</si>
  <si>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</si>
  <si>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</si>
  <si>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</si>
  <si>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</si>
  <si>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</si>
  <si>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</si>
  <si>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</si>
  <si>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</si>
  <si>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</si>
  <si>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</si>
  <si>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</si>
  <si>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</si>
  <si>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</si>
  <si>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</si>
  <si>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</si>
  <si>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</si>
  <si>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</si>
  <si>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</si>
  <si>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</si>
  <si>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</si>
  <si>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</si>
  <si>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</si>
  <si>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</si>
  <si>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</si>
  <si>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</si>
  <si>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</si>
  <si>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</si>
  <si>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</si>
  <si>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</si>
  <si>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</si>
  <si>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</si>
  <si>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</si>
  <si>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</si>
  <si>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</si>
  <si>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</si>
  <si>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</si>
  <si>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</si>
  <si>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</si>
  <si>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</si>
  <si>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</si>
  <si>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</si>
  <si>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</si>
  <si>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</si>
  <si>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</si>
  <si>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</si>
  <si>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</si>
  <si>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</si>
  <si>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</si>
  <si>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</si>
  <si>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</si>
  <si>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</si>
  <si>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</si>
  <si>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</si>
  <si>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</si>
  <si>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</si>
  <si>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</si>
  <si>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</si>
  <si>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</si>
  <si>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</si>
  <si>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</si>
  <si>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</si>
  <si>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</si>
  <si>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</si>
  <si>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</si>
  <si>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</si>
  <si>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</si>
  <si>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</si>
  <si>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</si>
  <si>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</si>
  <si>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</si>
  <si>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</si>
  <si>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</si>
  <si>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</si>
  <si>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</si>
  <si>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</si>
  <si>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</si>
  <si>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</si>
  <si>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</si>
  <si>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</si>
  <si>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</si>
  <si>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</si>
  <si>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</si>
  <si>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</si>
  <si>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</si>
  <si>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</si>
  <si>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</si>
  <si>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</si>
  <si>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</si>
  <si>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</si>
  <si>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</si>
  <si>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</si>
  <si>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</si>
  <si>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</si>
  <si>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</si>
  <si>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</si>
  <si>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</si>
  <si>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</si>
  <si>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</si>
  <si>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</si>
  <si>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</si>
  <si>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</si>
  <si>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</si>
  <si>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</si>
  <si>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</si>
  <si>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</si>
  <si>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</si>
  <si>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</si>
  <si>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</si>
  <si>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</si>
  <si>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</si>
  <si>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</si>
  <si>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</si>
  <si>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</si>
  <si>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</si>
  <si>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</si>
  <si>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</si>
  <si>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</si>
  <si>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</si>
  <si>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</si>
  <si>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</si>
  <si>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</si>
  <si>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</si>
  <si>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</si>
  <si>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</si>
  <si>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</si>
  <si>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</si>
  <si>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</si>
  <si>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</si>
  <si>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</si>
  <si>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</si>
  <si>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</si>
  <si>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</si>
  <si>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</si>
  <si>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</si>
  <si>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</si>
  <si>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</si>
  <si>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</si>
  <si>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</si>
  <si>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</si>
  <si>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</si>
  <si>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</si>
  <si>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</si>
  <si>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</si>
  <si>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</si>
  <si>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</si>
  <si>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</si>
  <si>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</si>
  <si>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</si>
  <si>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</si>
  <si>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</si>
  <si>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</si>
  <si>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</si>
  <si>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</si>
  <si>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</si>
  <si>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</si>
  <si>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</si>
  <si>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</si>
  <si>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</si>
  <si>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</si>
  <si>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</si>
  <si>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</si>
  <si>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</si>
  <si>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</si>
  <si>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</si>
  <si>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</si>
  <si>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</si>
  <si>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</si>
  <si>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</si>
  <si>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</si>
  <si>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</si>
  <si>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</si>
  <si>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</si>
  <si>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</si>
  <si>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</si>
  <si>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</si>
  <si>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</si>
  <si>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</si>
  <si>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</si>
  <si>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</si>
  <si>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</si>
  <si>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</si>
  <si>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</si>
  <si>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</si>
  <si>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</si>
  <si>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</si>
  <si>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</si>
  <si>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</si>
  <si>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</si>
  <si>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</si>
  <si>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</si>
  <si>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</si>
  <si>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</si>
  <si>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</si>
  <si>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</si>
  <si>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</si>
  <si>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</si>
  <si>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</si>
  <si>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</si>
  <si>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</si>
  <si>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</si>
  <si>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</si>
  <si>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</si>
  <si>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</si>
  <si>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</si>
  <si>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</si>
  <si>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</si>
  <si>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</si>
  <si>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</si>
  <si>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</si>
  <si>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</si>
  <si>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</si>
  <si>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</si>
  <si>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</si>
  <si>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</si>
  <si>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</si>
  <si>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</si>
  <si>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</si>
  <si>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</si>
  <si>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</si>
  <si>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</si>
  <si>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</si>
  <si>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</si>
  <si>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</si>
  <si>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</si>
  <si>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</si>
  <si>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</si>
  <si>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</si>
  <si>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</si>
  <si>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</si>
  <si>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</si>
  <si>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</si>
  <si>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</si>
  <si>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</si>
  <si>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</si>
  <si>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</si>
  <si>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</si>
  <si>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</si>
  <si>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</si>
  <si>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</si>
  <si>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</si>
  <si>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</si>
  <si>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</si>
  <si>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</si>
  <si>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</si>
  <si>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</si>
  <si>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</si>
  <si>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</si>
  <si>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</si>
  <si>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</si>
  <si>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</si>
  <si>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</si>
  <si>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</si>
  <si>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</si>
  <si>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</si>
  <si>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</si>
  <si>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</si>
  <si>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</si>
  <si>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</si>
  <si>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</si>
  <si>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</si>
  <si>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</si>
  <si>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</si>
  <si>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</si>
  <si>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</si>
  <si>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</si>
  <si>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</si>
  <si>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</si>
  <si>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</si>
  <si>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</si>
  <si>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</si>
  <si>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</si>
  <si>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</si>
  <si>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</si>
  <si>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</si>
  <si>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</si>
  <si>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</si>
  <si>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</si>
  <si>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</si>
  <si>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</si>
  <si>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</si>
  <si>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</si>
  <si>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</si>
  <si>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</si>
  <si>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</si>
  <si>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</si>
  <si>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</si>
  <si>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</si>
  <si>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</si>
  <si>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</si>
  <si>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</si>
  <si>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</si>
  <si>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</si>
  <si>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</si>
  <si>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</si>
  <si>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</si>
  <si>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</si>
  <si>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</si>
  <si>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</si>
  <si>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</si>
  <si>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</si>
  <si>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</si>
  <si>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</si>
  <si>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</si>
  <si>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</si>
  <si>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</si>
  <si>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</si>
  <si>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</si>
  <si>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</si>
  <si>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</si>
  <si>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</si>
  <si>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</si>
  <si>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</si>
  <si>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</si>
  <si>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</si>
  <si>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</si>
  <si>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</si>
  <si>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</si>
  <si>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</si>
  <si>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</si>
  <si>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</si>
  <si>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</si>
  <si>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</si>
  <si>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</si>
  <si>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</si>
  <si>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</si>
  <si>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</si>
  <si>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</si>
  <si>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</si>
  <si>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</si>
  <si>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</si>
  <si>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</si>
  <si>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</si>
  <si>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</si>
  <si>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</si>
  <si>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</si>
  <si>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</si>
  <si>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</si>
  <si>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</si>
  <si>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</si>
  <si>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</si>
  <si>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</si>
  <si>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</si>
  <si>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</si>
  <si>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</si>
  <si>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</si>
  <si>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</si>
  <si>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</si>
  <si>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</si>
  <si>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</si>
  <si>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</si>
  <si>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</si>
  <si>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</si>
  <si>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</si>
  <si>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</si>
  <si>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</si>
  <si>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</si>
  <si>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</si>
  <si>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</si>
  <si>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</si>
  <si>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</si>
  <si>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</si>
  <si>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</si>
  <si>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</si>
  <si>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</si>
  <si>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</si>
  <si>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</si>
  <si>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</si>
  <si>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</si>
  <si>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</si>
  <si>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</si>
  <si>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</si>
  <si>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</si>
  <si>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</si>
  <si>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</si>
  <si>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</si>
  <si>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</si>
  <si>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</si>
  <si>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</si>
  <si>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</si>
  <si>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</si>
  <si>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</si>
  <si>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</si>
  <si>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</si>
  <si>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</si>
  <si>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</si>
  <si>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</si>
  <si>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</si>
  <si>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</si>
  <si>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</si>
  <si>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</si>
  <si>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</si>
  <si>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</si>
  <si>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</si>
  <si>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</si>
  <si>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</si>
  <si>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</si>
  <si>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</si>
  <si>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</si>
  <si>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</si>
  <si>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</si>
  <si>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</si>
  <si>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</si>
  <si>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</si>
  <si>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</si>
  <si>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</si>
  <si>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</si>
  <si>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</si>
  <si>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</si>
  <si>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</si>
  <si>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</si>
  <si>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</si>
  <si>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</si>
  <si>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</si>
  <si>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</si>
  <si>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</si>
  <si>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</si>
  <si>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</si>
  <si>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</si>
  <si>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</si>
  <si>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</si>
  <si>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</si>
  <si>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</si>
  <si>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</si>
  <si>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</si>
  <si>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</si>
  <si>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</si>
  <si>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</si>
  <si>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</si>
  <si>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</si>
  <si>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</si>
  <si>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</si>
  <si>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</si>
  <si>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</si>
  <si>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</si>
  <si>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</si>
  <si>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</si>
  <si>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</si>
  <si>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</si>
  <si>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</si>
  <si>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</si>
  <si>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</si>
  <si>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</si>
  <si>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</si>
  <si>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</si>
  <si>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</si>
  <si>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</si>
  <si>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</si>
  <si>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</si>
  <si>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</si>
  <si>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</si>
  <si>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</si>
  <si>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</si>
  <si>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</si>
  <si>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</si>
  <si>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</si>
  <si>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</si>
  <si>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</si>
  <si>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</si>
  <si>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</si>
  <si>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</si>
  <si>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</si>
  <si>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</si>
  <si>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</si>
  <si>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</si>
  <si>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</si>
  <si>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</si>
  <si>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</si>
  <si>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</si>
  <si>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</si>
  <si>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</si>
  <si>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</si>
  <si>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</si>
  <si>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</si>
  <si>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</si>
  <si>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</si>
  <si>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</si>
  <si>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</si>
  <si>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</si>
  <si>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</si>
  <si>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</si>
  <si>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</si>
  <si>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</si>
  <si>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</si>
  <si>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</si>
  <si>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</si>
  <si>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</si>
  <si>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</si>
  <si>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</si>
  <si>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</si>
  <si>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</si>
  <si>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</si>
  <si>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</si>
  <si>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</si>
  <si>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</si>
  <si>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</si>
  <si>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</si>
  <si>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</si>
  <si>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</si>
  <si>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</si>
  <si>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</si>
  <si>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</si>
  <si>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</si>
  <si>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</si>
  <si>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</si>
  <si>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</si>
  <si>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</si>
  <si>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</si>
  <si>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</si>
  <si>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</si>
  <si>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</si>
  <si>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</si>
  <si>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</si>
  <si>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</si>
  <si>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</si>
  <si>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</si>
  <si>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</si>
  <si>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</si>
  <si>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</si>
  <si>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</si>
  <si>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</si>
  <si>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</si>
  <si>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</si>
  <si>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</si>
  <si>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</si>
  <si>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</si>
  <si>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</si>
  <si>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</si>
  <si>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</si>
  <si>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</si>
  <si>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</si>
  <si>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</si>
  <si>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</si>
  <si>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</si>
  <si>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</si>
  <si>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</si>
  <si>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</si>
  <si>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</si>
  <si>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</si>
  <si>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</si>
  <si>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</si>
  <si>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</si>
  <si>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</si>
  <si>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</si>
  <si>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</si>
  <si>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</si>
  <si>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</si>
  <si>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</si>
  <si>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</si>
  <si>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</si>
  <si>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</si>
  <si>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</si>
  <si>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</si>
  <si>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</si>
  <si>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</si>
  <si>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</si>
  <si>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</si>
  <si>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</si>
  <si>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</si>
  <si>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</si>
  <si>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</si>
  <si>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</si>
  <si>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</si>
  <si>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</si>
  <si>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</si>
  <si>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</si>
  <si>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</si>
  <si>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</si>
  <si>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</si>
  <si>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</si>
  <si>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</si>
  <si>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</si>
  <si>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</si>
  <si>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</si>
  <si>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</si>
  <si>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</si>
  <si>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</si>
  <si>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</si>
  <si>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</si>
  <si>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</si>
  <si>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</si>
  <si>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</si>
  <si>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</si>
  <si>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</si>
  <si>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</si>
  <si>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</si>
  <si>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</si>
  <si>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</si>
  <si>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</si>
  <si>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</si>
  <si>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</si>
  <si>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</si>
  <si>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</si>
  <si>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</si>
  <si>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</si>
  <si>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</si>
  <si>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</si>
  <si>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</si>
  <si>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</si>
  <si>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</si>
  <si>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</si>
  <si>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</si>
  <si>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</si>
  <si>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</si>
  <si>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</si>
  <si>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</si>
  <si>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</si>
  <si>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</si>
  <si>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</si>
  <si>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</si>
  <si>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</si>
  <si>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</si>
  <si>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</si>
  <si>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</si>
  <si>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</si>
  <si>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</si>
  <si>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</si>
  <si>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</si>
  <si>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</si>
  <si>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</si>
  <si>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</si>
  <si>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</si>
  <si>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</si>
  <si>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</si>
  <si>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</si>
  <si>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</si>
  <si>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</si>
  <si>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</si>
  <si>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</si>
  <si>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</si>
  <si>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</si>
  <si>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</si>
  <si>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</si>
  <si>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</si>
  <si>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</si>
  <si>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</si>
  <si>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</si>
  <si>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</si>
  <si>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</si>
  <si>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</si>
  <si>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</si>
  <si>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</si>
  <si>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</si>
  <si>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</si>
  <si>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</si>
  <si>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</si>
  <si>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</si>
  <si>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</si>
  <si>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</si>
  <si>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</si>
  <si>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</si>
  <si>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</si>
  <si>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</si>
  <si>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</si>
  <si>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</si>
  <si>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</si>
  <si>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</si>
  <si>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</si>
  <si>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</si>
  <si>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</si>
  <si>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</si>
  <si>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</si>
  <si>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</si>
  <si>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</si>
  <si>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</si>
  <si>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</si>
  <si>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</si>
  <si>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</si>
  <si>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</si>
  <si>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</si>
  <si>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</si>
  <si>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</si>
  <si>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</si>
  <si>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</si>
  <si>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</si>
  <si>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</si>
  <si>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</si>
  <si>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</si>
  <si>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</si>
  <si>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</si>
  <si>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</si>
  <si>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</si>
  <si>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</si>
  <si>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</si>
  <si>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</si>
  <si>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</si>
  <si>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</si>
  <si>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</si>
  <si>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</si>
  <si>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</si>
  <si>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</si>
  <si>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</si>
  <si>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</si>
  <si>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</si>
  <si>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</si>
  <si>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</si>
  <si>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</si>
  <si>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</si>
  <si>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</si>
  <si>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</si>
  <si>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</si>
  <si>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</si>
  <si>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</si>
  <si>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</si>
  <si>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</si>
  <si>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</si>
  <si>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</si>
  <si>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</si>
  <si>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</si>
  <si>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</si>
  <si>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</si>
  <si>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</si>
  <si>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</si>
  <si>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</si>
  <si>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</si>
  <si>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</si>
  <si>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</si>
  <si>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</si>
  <si>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</si>
  <si>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</si>
  <si>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</si>
  <si>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</si>
  <si>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</si>
  <si>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</si>
  <si>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</si>
  <si>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</si>
  <si>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</si>
  <si>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</si>
  <si>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</si>
  <si>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</si>
  <si>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</si>
  <si>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</si>
  <si>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</si>
  <si>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</si>
  <si>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</si>
  <si>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</si>
  <si>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</si>
  <si>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</si>
  <si>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</si>
  <si>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</si>
  <si>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</si>
  <si>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</si>
  <si>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</si>
  <si>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</si>
  <si>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</si>
  <si>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</si>
  <si>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</si>
  <si>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</si>
  <si>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</si>
  <si>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</si>
  <si>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</si>
  <si>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</si>
  <si>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</si>
  <si>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</si>
  <si>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</si>
  <si>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</si>
  <si>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</si>
  <si>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</si>
  <si>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</si>
  <si>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</si>
  <si>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</si>
  <si>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</si>
  <si>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x</t>
  </si>
  <si>
    <t xml:space="preserve">   </t>
  </si>
  <si>
    <t>Total Sales</t>
  </si>
  <si>
    <t>Payment Method-wise Sales Analysis</t>
  </si>
  <si>
    <t>Payment Method</t>
  </si>
  <si>
    <t>Total Sales by Product-wise Aggregation Analysis</t>
  </si>
  <si>
    <t xml:space="preserve"> </t>
  </si>
  <si>
    <t>Average</t>
  </si>
  <si>
    <t>IF AVERAGE</t>
  </si>
  <si>
    <t xml:space="preserve">User define </t>
  </si>
  <si>
    <t>Normal Table</t>
  </si>
  <si>
    <t>Definition</t>
  </si>
  <si>
    <t>Organizes data into rows and columns with clear headings.</t>
  </si>
  <si>
    <t>Purpose</t>
  </si>
  <si>
    <t>Read, sort, filter, and manage data.</t>
  </si>
  <si>
    <t>Total Quantity</t>
  </si>
  <si>
    <t>Ctrl + T Table:</t>
  </si>
  <si>
    <r>
      <t xml:space="preserve">An Excel Table created by pressing </t>
    </r>
    <r>
      <rPr>
        <b/>
        <sz val="11"/>
        <color theme="1"/>
        <rFont val="Calibri"/>
        <family val="2"/>
        <scheme val="minor"/>
      </rPr>
      <t>Ctrl + T</t>
    </r>
    <r>
      <rPr>
        <sz val="11"/>
        <color theme="1"/>
        <rFont val="Calibri"/>
        <family val="2"/>
        <scheme val="minor"/>
      </rPr>
      <t xml:space="preserve"> that provides automatic filtering, formatting, and dynamic expansion when new data is added.</t>
    </r>
  </si>
  <si>
    <t>Abc</t>
  </si>
  <si>
    <t>05_Pivot_Table</t>
  </si>
  <si>
    <t>A Pivot Table summarizes and analyzes large amounts of data by grouping and calculating values such as Sum, Average, and Count</t>
  </si>
  <si>
    <t>Row Labels</t>
  </si>
  <si>
    <t>Grand Total</t>
  </si>
  <si>
    <t>Sum of Quantity</t>
  </si>
  <si>
    <t>Sum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</si>
</sst>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/>
    <xf numFmtId="0" fontId="0" fillId="3" borderId="5" xfId="0" applyFont="1" applyFill="1" applyBorder="1"/>
    <xf numFmtId="0" fontId="0" fillId="4" borderId="5" xfId="0" applyFont="1" applyFill="1" applyBorder="1"/>
    <xf numFmtId="0" fontId="0" fillId="0" borderId="0" xfId="0" applyNumberFormat="1"/>
    <xf numFmtId="0" fontId="0" fillId="4" borderId="6" xfId="0" applyNumberFormat="1" applyFont="1" applyFill="1" applyBorder="1"/>
    <xf numFmtId="0" fontId="2" fillId="2" borderId="4" xfId="0" applyFont="1" applyFill="1" applyBorder="1" applyAlignment="1">
      <alignment horizontal="center" vertical="top"/>
    </xf>
    <xf numFmtId="0" fontId="6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0000FF"/>
      <color rgb="FF877C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'03_Normal_Table'!$B$8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'03_Normal_Table'!$A$9:$A$15</c:f>
              <c:strCache>
                <c:ptCount val="7"/>
                <c:pt idx="0">
                  <c:v>Monitor</c:v>
                </c:pt>
                <c:pt idx="1">
                  <c:v>Phone</c:v>
                </c:pt>
                <c:pt idx="2">
                  <c:v>Tablet</c:v>
                </c:pt>
                <c:pt idx="3">
                  <c:v>Chair</c:v>
                </c:pt>
                <c:pt idx="4">
                  <c:v>Printer</c:v>
                </c:pt>
                <c:pt idx="5">
                  <c:v>Laptop</c:v>
                </c:pt>
                <c:pt idx="6">
                  <c:v>Desk</c:v>
                </c:pt>
              </c:strCache>
            </c:strRef>
          </c:cat>
          <c:val>
            <c:numRef>
              <c:f>'03_Normal_Table'!$B$9:$B$15</c:f>
              <c:numCache>
                <c:formatCode>General</c:formatCode>
                <c:ptCount val="7"/>
                <c:pt idx="0">
                  <c:v>480</c:v>
                </c:pt>
                <c:pt idx="1">
                  <c:v>411</c:v>
                </c:pt>
                <c:pt idx="2">
                  <c:v>497</c:v>
                </c:pt>
                <c:pt idx="3">
                  <c:v>562</c:v>
                </c:pt>
                <c:pt idx="4">
                  <c:v>542</c:v>
                </c:pt>
                <c:pt idx="5">
                  <c:v>535</c:v>
                </c:pt>
                <c:pt idx="6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6-4B5B-9C03-0C8EFD6E5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439215"/>
        <c:axId val="570323967"/>
      </c:barChart>
      <c:catAx>
        <c:axId val="56543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23967"/>
        <c:crosses val="autoZero"/>
        <c:auto val="1"/>
        <c:lblAlgn val="ctr"/>
        <c:lblOffset val="100"/>
        <c:noMultiLvlLbl val="0"/>
      </c:catAx>
      <c:valAx>
        <c:axId val="57032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439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'03_Normal_Table'!$B$20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'03_Normal_Table'!$A$21:$A$27</c:f>
              <c:strCache>
                <c:ptCount val="7"/>
                <c:pt idx="0">
                  <c:v>Monitor</c:v>
                </c:pt>
                <c:pt idx="1">
                  <c:v>Phone</c:v>
                </c:pt>
                <c:pt idx="2">
                  <c:v>Tablet</c:v>
                </c:pt>
                <c:pt idx="3">
                  <c:v>Chair</c:v>
                </c:pt>
                <c:pt idx="4">
                  <c:v>Printer</c:v>
                </c:pt>
                <c:pt idx="5">
                  <c:v>Laptop</c:v>
                </c:pt>
                <c:pt idx="6">
                  <c:v>Desk</c:v>
                </c:pt>
              </c:strCache>
            </c:strRef>
          </c:cat>
          <c:val>
            <c:numRef>
              <c:f>'03_Normal_Table'!$B$21:$B$27</c:f>
              <c:numCache>
                <c:formatCode>General</c:formatCode>
                <c:ptCount val="7"/>
                <c:pt idx="0">
                  <c:v>175651.40999999997</c:v>
                </c:pt>
                <c:pt idx="1">
                  <c:v>151722.39000000001</c:v>
                </c:pt>
                <c:pt idx="2">
                  <c:v>186568.95000000007</c:v>
                </c:pt>
                <c:pt idx="3">
                  <c:v>195620.11000000002</c:v>
                </c:pt>
                <c:pt idx="4">
                  <c:v>195612.60999999996</c:v>
                </c:pt>
                <c:pt idx="5">
                  <c:v>192126.55999999994</c:v>
                </c:pt>
                <c:pt idx="6">
                  <c:v>167459.93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A-4EAC-B2C2-62A125AF2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5859759"/>
        <c:axId val="570348031"/>
      </c:barChart>
      <c:catAx>
        <c:axId val="3658597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48031"/>
        <c:crosses val="autoZero"/>
        <c:auto val="1"/>
        <c:lblAlgn val="ctr"/>
        <c:lblOffset val="100"/>
        <c:noMultiLvlLbl val="0"/>
      </c:catAx>
      <c:valAx>
        <c:axId val="57034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5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'03_Normal_Table'!$B$34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'03_Normal_Table'!$A$35:$A$40</c:f>
              <c:strCache>
                <c:ptCount val="6"/>
                <c:pt idx="0">
                  <c:v>Debit Card</c:v>
                </c:pt>
                <c:pt idx="1">
                  <c:v>Online</c:v>
                </c:pt>
                <c:pt idx="2">
                  <c:v>Credit Card</c:v>
                </c:pt>
                <c:pt idx="3">
                  <c:v>Gift Card</c:v>
                </c:pt>
                <c:pt idx="4">
                  <c:v>Cash</c:v>
                </c:pt>
                <c:pt idx="5">
                  <c:v>x</c:v>
                </c:pt>
              </c:strCache>
            </c:strRef>
          </c:cat>
          <c:val>
            <c:numRef>
              <c:f>'03_Normal_Table'!$B$35:$B$40</c:f>
              <c:numCache>
                <c:formatCode>General</c:formatCode>
                <c:ptCount val="6"/>
                <c:pt idx="0">
                  <c:v>232361.17999999996</c:v>
                </c:pt>
                <c:pt idx="1">
                  <c:v>262442.94000000012</c:v>
                </c:pt>
                <c:pt idx="2">
                  <c:v>262780.00999999989</c:v>
                </c:pt>
                <c:pt idx="3">
                  <c:v>246323.9200000001</c:v>
                </c:pt>
                <c:pt idx="4">
                  <c:v>259786.28999999992</c:v>
                </c:pt>
                <c:pt idx="5">
                  <c:v>1067.6199999999999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6-468A-AC7F-A51C37E6D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'05_Ctrl_T_Table'!$B$6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'05_Ctrl_T_Table'!$A$7:$A$14</c:f>
              <c:strCache>
                <c:ptCount val="8"/>
                <c:pt idx="0">
                  <c:v>Monitor</c:v>
                </c:pt>
                <c:pt idx="1">
                  <c:v>Phone</c:v>
                </c:pt>
                <c:pt idx="2">
                  <c:v>Tablet</c:v>
                </c:pt>
                <c:pt idx="3">
                  <c:v>Chair</c:v>
                </c:pt>
                <c:pt idx="4">
                  <c:v>Printer</c:v>
                </c:pt>
                <c:pt idx="5">
                  <c:v>Laptop</c:v>
                </c:pt>
                <c:pt idx="6">
                  <c:v>Desk</c:v>
                </c:pt>
                <c:pt idx="7">
                  <c:v>Abc</c:v>
                </c:pt>
              </c:strCache>
            </c:strRef>
          </c:cat>
          <c:val>
            <c:numRef>
              <c:f>'05_Ctrl_T_Table'!$B$7:$B$14</c:f>
              <c:numCache>
                <c:formatCode>General</c:formatCode>
                <c:ptCount val="8"/>
                <c:pt idx="0">
                  <c:v>480</c:v>
                </c:pt>
                <c:pt idx="1">
                  <c:v>411</c:v>
                </c:pt>
                <c:pt idx="2">
                  <c:v>497</c:v>
                </c:pt>
                <c:pt idx="3">
                  <c:v>562</c:v>
                </c:pt>
                <c:pt idx="4">
                  <c:v>542</c:v>
                </c:pt>
                <c:pt idx="5">
                  <c:v>508</c:v>
                </c:pt>
                <c:pt idx="6">
                  <c:v>165</c:v>
                </c:pt>
                <c:pt idx="7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4-4236-A5E3-B9E24E920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66616399"/>
        <c:axId val="570359807"/>
      </c:barChart>
      <c:catAx>
        <c:axId val="666616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59807"/>
        <c:crosses val="autoZero"/>
        <c:auto val="1"/>
        <c:lblAlgn val="ctr"/>
        <c:lblOffset val="100"/>
        <c:noMultiLvlLbl val="0"/>
      </c:catAx>
      <c:valAx>
        <c:axId val="57035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61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'05_Ctrl_T_Table'!$B$43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2C7-4F07-94C7-9866EFD8EC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C7-4F07-94C7-9866EFD8EC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C7-4F07-94C7-9866EFD8EC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2C7-4F07-94C7-9866EFD8EC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2C7-4F07-94C7-9866EFD8EC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E2C7-4F07-94C7-9866EFD8ECC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E2C7-4F07-94C7-9866EFD8ECC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2C7-4F07-94C7-9866EFD8ECC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2C7-4F07-94C7-9866EFD8ECC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E2C7-4F07-94C7-9866EFD8ECC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2C7-4F07-94C7-9866EFD8ECC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E2C7-4F07-94C7-9866EFD8ECC7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'05_Ctrl_T_Table'!$A$44:$A$49</c:f>
              <c:strCache>
                <c:ptCount val="6"/>
                <c:pt idx="0">
                  <c:v>Debit Card</c:v>
                </c:pt>
                <c:pt idx="1">
                  <c:v>Online</c:v>
                </c:pt>
                <c:pt idx="2">
                  <c:v>Credit Card</c:v>
                </c:pt>
                <c:pt idx="3">
                  <c:v>Gift Card</c:v>
                </c:pt>
                <c:pt idx="4">
                  <c:v>Cash</c:v>
                </c:pt>
                <c:pt idx="5">
                  <c:v>x</c:v>
                </c:pt>
              </c:strCache>
            </c:strRef>
          </c:cat>
          <c:val>
            <c:numRef>
              <c:f>'05_Ctrl_T_Table'!$B$44:$B$49</c:f>
              <c:numCache>
                <c:formatCode>General</c:formatCode>
                <c:ptCount val="6"/>
                <c:pt idx="0">
                  <c:v>232361.17999999996</c:v>
                </c:pt>
                <c:pt idx="1">
                  <c:v>262442.94000000012</c:v>
                </c:pt>
                <c:pt idx="2">
                  <c:v>262780.00999999989</c:v>
                </c:pt>
                <c:pt idx="3">
                  <c:v>246323.9200000001</c:v>
                </c:pt>
                <c:pt idx="4">
                  <c:v>259786.28999999992</c:v>
                </c:pt>
                <c:pt idx="5">
                  <c:v>1067.6199999999999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7-4F07-94C7-9866EFD8ECC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'05_Ctrl_T_Table'!$B$22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0000FF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'05_Ctrl_T_Table'!$A$23:$A$30</c:f>
              <c:strCache>
                <c:ptCount val="8"/>
                <c:pt idx="0">
                  <c:v>Monitor</c:v>
                </c:pt>
                <c:pt idx="1">
                  <c:v>Phone</c:v>
                </c:pt>
                <c:pt idx="2">
                  <c:v>Tablet</c:v>
                </c:pt>
                <c:pt idx="3">
                  <c:v>Chair</c:v>
                </c:pt>
                <c:pt idx="4">
                  <c:v>Printer</c:v>
                </c:pt>
                <c:pt idx="5">
                  <c:v>Laptop</c:v>
                </c:pt>
                <c:pt idx="6">
                  <c:v>Desk</c:v>
                </c:pt>
                <c:pt idx="7">
                  <c:v>Abc</c:v>
                </c:pt>
              </c:strCache>
            </c:strRef>
          </c:cat>
          <c:val>
            <c:numRef>
              <c:f>'05_Ctrl_T_Table'!$B$23:$B$30</c:f>
              <c:numCache>
                <c:formatCode>General</c:formatCode>
                <c:ptCount val="8"/>
                <c:pt idx="0">
                  <c:v>175651.40999999997</c:v>
                </c:pt>
                <c:pt idx="1">
                  <c:v>151722.39000000001</c:v>
                </c:pt>
                <c:pt idx="2">
                  <c:v>186568.95000000007</c:v>
                </c:pt>
                <c:pt idx="3">
                  <c:v>195620.11000000002</c:v>
                </c:pt>
                <c:pt idx="4">
                  <c:v>195612.60999999996</c:v>
                </c:pt>
                <c:pt idx="5">
                  <c:v>192126.55999999994</c:v>
                </c:pt>
                <c:pt idx="6">
                  <c:v>167459.93</c:v>
                </c:pt>
                <c:pt idx="7">
                  <c:v>1548892.36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3-4BB3-B687-E6EE56BBD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68719007"/>
        <c:axId val="570352127"/>
      </c:barChart>
      <c:catAx>
        <c:axId val="368719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Product</a:t>
                </a:r>
              </a:p>
            </c:rich>
          </c:tx>
          <c:layout>
            <c:manualLayout>
              <c:xMode val="edge"/>
              <c:yMode val="edge"/>
              <c:x val="0.43653087247072841"/>
              <c:y val="0.882933762672637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52127"/>
        <c:crosses val="autoZero"/>
        <c:auto val="1"/>
        <c:lblAlgn val="ctr"/>
        <c:lblOffset val="100"/>
        <c:noMultiLvlLbl val="0"/>
      </c:catAx>
      <c:valAx>
        <c:axId val="57035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71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  22.xlsx]06_Pivot_Table!PivotTable19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'06_Pivot_Table'!$B$7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'06_Pivot_Table'!$A$8:$A$15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'06_Pivot_Table'!$B$8:$B$15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2-4377-8FF0-58867A8C14BE}"/>
            </c:ext>
          </c:extLst>
        </c:ser>
        <c:ser>
          <c:idx val="1"/>
          <c:order val="1"/>
          <c:tx>
            <c:strRef>
              <c:f>'06_Pivot_Table'!$C$7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'06_Pivot_Table'!$A$8:$A$15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'06_Pivot_Table'!$C$8:$C$15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2-4377-8FF0-58867A8C14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17650111"/>
        <c:axId val="570361855"/>
      </c:barChart>
      <c:catAx>
        <c:axId val="181765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61855"/>
        <c:crosses val="autoZero"/>
        <c:auto val="1"/>
        <c:lblAlgn val="ctr"/>
        <c:lblOffset val="100"/>
        <c:noMultiLvlLbl val="0"/>
      </c:catAx>
      <c:valAx>
        <c:axId val="5703618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1765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4</xdr:row>
      <xdr:rowOff>163830</xdr:rowOff>
    </xdr:from>
    <xdr:to>
      <xdr:col>8</xdr:col>
      <xdr:colOff>594360</xdr:colOff>
      <xdr:row>15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219489-BEDF-F6F1-FB1F-045D0F298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19</xdr:row>
      <xdr:rowOff>7620</xdr:rowOff>
    </xdr:from>
    <xdr:to>
      <xdr:col>8</xdr:col>
      <xdr:colOff>586740</xdr:colOff>
      <xdr:row>30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9B8485-BBC6-142B-C7FF-44977DCD3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15240</xdr:colOff>
      <xdr:row>32</xdr:row>
      <xdr:rowOff>175260</xdr:rowOff>
    </xdr:from>
    <xdr:to>
      <xdr:col>8</xdr:col>
      <xdr:colOff>594360</xdr:colOff>
      <xdr:row>45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E1F182-25DC-01C1-07A6-E0F79DD22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171450</xdr:rowOff>
    </xdr:from>
    <xdr:to>
      <xdr:col>10</xdr:col>
      <xdr:colOff>7620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AA9CE-2568-4CD8-AFA7-45DB62F2E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42</xdr:row>
      <xdr:rowOff>3810</xdr:rowOff>
    </xdr:from>
    <xdr:to>
      <xdr:col>10</xdr:col>
      <xdr:colOff>0</xdr:colOff>
      <xdr:row>58</xdr:row>
      <xdr:rowOff>45720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D1ADF2-B4ED-77C7-EB36-67B87F954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586740</xdr:colOff>
      <xdr:row>20</xdr:row>
      <xdr:rowOff>167640</xdr:rowOff>
    </xdr:from>
    <xdr:to>
      <xdr:col>10</xdr:col>
      <xdr:colOff>7620</xdr:colOff>
      <xdr:row>33</xdr:row>
      <xdr:rowOff>160020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63E733F-A59E-4729-BB31-9F9C36807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6</xdr:row>
      <xdr:rowOff>3810</xdr:rowOff>
    </xdr:from>
    <xdr:to>
      <xdr:col>12</xdr:col>
      <xdr:colOff>7620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614AD9-4746-F1C4-D6E5-C88C5F202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9.924746296296" createdVersion="8" refreshedVersion="8" minRefreshableVersion="3" recordCount="1200" xr:uid="{95DADB3C-4ACA-4632-927E-F4A9A9B071FA}">
  <cacheSource type="worksheet">
    <worksheetSource ref="A1:N1201" sheet="01_Raw_Data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x v="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x v="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x v="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x v="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x v="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x v="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x v="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x v="8"/>
    <d v="2025-04-02T00:00:00"/>
    <s v="C26817"/>
    <x v="1"/>
    <n v="2"/>
    <n v="134.28"/>
    <s v="904 Main St"/>
    <s v="Gift Card"/>
    <s v="Cancelled"/>
    <s v="TRK61042692"/>
    <n v="2"/>
    <m/>
    <s v="Email"/>
    <n v="268.56"/>
  </r>
  <r>
    <x v="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x v="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x v="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x v="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x v="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x v="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x v="15"/>
    <d v="2023-07-17T00:00:00"/>
    <s v="C39416"/>
    <x v="4"/>
    <n v="1"/>
    <n v="473.96"/>
    <s v="942 Main St"/>
    <s v="Cash"/>
    <s v="Delivered"/>
    <s v="TRK54930938"/>
    <n v="3"/>
    <m/>
    <s v="Google"/>
    <n v="473.96"/>
  </r>
  <r>
    <x v="16"/>
    <d v="2023-01-24T00:00:00"/>
    <s v="C28976"/>
    <x v="4"/>
    <n v="2"/>
    <n v="533.80999999999995"/>
    <s v="914 Main St"/>
    <s v="x"/>
    <s v="Pending"/>
    <s v="TRK13194259"/>
    <n v="3"/>
    <s v="FREESHIP"/>
    <s v="Email"/>
    <n v="1067.6199999999999"/>
  </r>
  <r>
    <x v="17"/>
    <d v="2024-03-02T00:00:00"/>
    <s v="C60672"/>
    <x v="2"/>
    <n v="1"/>
    <n v="423.4"/>
    <s v="382 Main St"/>
    <s v="Debit Card"/>
    <s v="Shipped"/>
    <s v="TRK11972116"/>
    <n v="3"/>
    <m/>
    <s v="Referral"/>
    <n v="423.4"/>
  </r>
  <r>
    <x v="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x v="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x v="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x v="21"/>
    <d v="2024-11-17T00:00:00"/>
    <s v="C99023"/>
    <x v="0"/>
    <n v="4"/>
    <n v="342.95"/>
    <s v="569 Main St"/>
    <s v="Cash"/>
    <s v="Delivered"/>
    <s v="TRK52646983"/>
    <n v="6"/>
    <m/>
    <s v="Google"/>
    <n v="1371.8"/>
  </r>
  <r>
    <x v="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x v="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x v="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x v="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x v="26"/>
    <d v="2024-03-06T00:00:00"/>
    <s v="C21944"/>
    <x v="5"/>
    <n v="5"/>
    <n v="59.55"/>
    <s v="296 Main St"/>
    <s v="Online"/>
    <s v="Delivered"/>
    <s v="TRK80276812"/>
    <n v="6"/>
    <m/>
    <s v="Referral"/>
    <n v="297.75"/>
  </r>
  <r>
    <x v="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x v="28"/>
    <d v="2023-11-21T00:00:00"/>
    <s v="C59823"/>
    <x v="1"/>
    <n v="4"/>
    <n v="160.07"/>
    <s v="568 Main St"/>
    <s v="Online"/>
    <s v="Pending"/>
    <s v="TRK65895539"/>
    <n v="5"/>
    <m/>
    <s v="Email"/>
    <n v="640.28"/>
  </r>
  <r>
    <x v="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x v="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x v="31"/>
    <d v="2023-06-30T00:00:00"/>
    <s v="C26445"/>
    <x v="3"/>
    <n v="3"/>
    <n v="500.08"/>
    <s v="996 Main St"/>
    <s v="Debit Card"/>
    <s v="Returned"/>
    <s v="TRK31229981"/>
    <n v="6"/>
    <m/>
    <s v="Facebook"/>
    <n v="1500.24"/>
  </r>
  <r>
    <x v="32"/>
    <d v="2023-05-01T00:00:00"/>
    <s v="C12388"/>
    <x v="2"/>
    <n v="5"/>
    <n v="536.72"/>
    <s v="830 Main St"/>
    <s v="Cash"/>
    <s v="Delivered"/>
    <s v="TRK99261395"/>
    <n v="10"/>
    <m/>
    <s v="Email"/>
    <n v="2683.6"/>
  </r>
  <r>
    <x v="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x v="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x v="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x v="36"/>
    <d v="2025-05-08T00:00:00"/>
    <s v="C59337"/>
    <x v="5"/>
    <n v="2"/>
    <n v="534.42999999999995"/>
    <s v="465 Main St"/>
    <s v="Debit Card"/>
    <s v="Pending"/>
    <s v="TRK50961250"/>
    <n v="5"/>
    <m/>
    <s v="Facebook"/>
    <n v="1068.8599999999999"/>
  </r>
  <r>
    <x v="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x v="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x v="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x v="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x v="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x v="42"/>
    <d v="2024-05-06T00:00:00"/>
    <s v="C28712"/>
    <x v="4"/>
    <n v="2"/>
    <n v="151.66"/>
    <s v="980 Main St"/>
    <s v="Cash"/>
    <s v="Cancelled"/>
    <s v="TRK40772558"/>
    <n v="6"/>
    <m/>
    <s v="Instagram"/>
    <n v="303.32"/>
  </r>
  <r>
    <x v="43"/>
    <d v="2023-12-14T00:00:00"/>
    <s v="C60572"/>
    <x v="3"/>
    <n v="3"/>
    <n v="499.21"/>
    <s v="871 Main St"/>
    <s v="Online"/>
    <s v="Cancelled"/>
    <s v="TRK20351666"/>
    <n v="8"/>
    <m/>
    <s v="Instagram"/>
    <n v="1497.63"/>
  </r>
  <r>
    <x v="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x v="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x v="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x v="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x v="48"/>
    <d v="2023-08-26T00:00:00"/>
    <s v="C12408"/>
    <x v="0"/>
    <n v="2"/>
    <n v="80.77"/>
    <s v="464 Main St"/>
    <s v="Debit Card"/>
    <s v="Shipped"/>
    <s v="TRK38938858"/>
    <n v="4"/>
    <m/>
    <s v="Google"/>
    <n v="161.54"/>
  </r>
  <r>
    <x v="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x v="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x v="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x v="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x v="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x v="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x v="55"/>
    <d v="2025-06-24T00:00:00"/>
    <s v="C95984"/>
    <x v="4"/>
    <n v="3"/>
    <n v="344.4"/>
    <s v="565 Main St"/>
    <s v="Online"/>
    <s v="Cancelled"/>
    <s v="TRK67434829"/>
    <n v="3"/>
    <m/>
    <s v="Facebook"/>
    <n v="1033.2"/>
  </r>
  <r>
    <x v="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x v="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x v="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x v="59"/>
    <d v="2024-09-11T00:00:00"/>
    <s v="C97603"/>
    <x v="3"/>
    <n v="4"/>
    <n v="593.27"/>
    <s v="811 Main St"/>
    <s v="Online"/>
    <s v="Shipped"/>
    <s v="TRK47055028"/>
    <n v="5"/>
    <m/>
    <s v="Facebook"/>
    <n v="2373.08"/>
  </r>
  <r>
    <x v="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x v="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x v="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x v="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x v="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x v="65"/>
    <d v="2023-12-30T00:00:00"/>
    <s v="C97735"/>
    <x v="0"/>
    <n v="5"/>
    <n v="81.7"/>
    <s v="385 Main St"/>
    <s v="Credit Card"/>
    <s v="Delivered"/>
    <s v="TRK13743703"/>
    <n v="6"/>
    <m/>
    <s v="Instagram"/>
    <n v="408.5"/>
  </r>
  <r>
    <x v="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x v="67"/>
    <d v="2024-12-09T00:00:00"/>
    <s v="C25587"/>
    <x v="4"/>
    <n v="4"/>
    <n v="12.1"/>
    <s v="440 Main St"/>
    <s v="Debit Card"/>
    <s v="Cancelled"/>
    <s v="TRK55105323"/>
    <n v="8"/>
    <m/>
    <s v="Google"/>
    <n v="48.4"/>
  </r>
  <r>
    <x v="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x v="69"/>
    <d v="2023-05-11T00:00:00"/>
    <s v="C43338"/>
    <x v="0"/>
    <n v="3"/>
    <n v="478.65"/>
    <s v="552 Main St"/>
    <s v="Online"/>
    <s v="Shipped"/>
    <s v="TRK35241775"/>
    <n v="4"/>
    <m/>
    <s v="Referral"/>
    <n v="1435.95"/>
  </r>
  <r>
    <x v="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x v="71"/>
    <d v="2025-06-10T00:00:00"/>
    <s v="C37454"/>
    <x v="0"/>
    <n v="3"/>
    <n v="434.45"/>
    <s v="923 Main St"/>
    <s v="Credit Card"/>
    <s v="Pending"/>
    <s v="TRK28252730"/>
    <n v="4"/>
    <m/>
    <s v="Referral"/>
    <n v="1303.3499999999999"/>
  </r>
  <r>
    <x v="72"/>
    <d v="2024-12-22T00:00:00"/>
    <s v="C19451"/>
    <x v="2"/>
    <n v="4"/>
    <n v="589.44000000000005"/>
    <s v="942 Main St"/>
    <s v="Gift Card"/>
    <s v="Returned"/>
    <s v="TRK87787793"/>
    <n v="5"/>
    <m/>
    <s v="Facebook"/>
    <n v="2357.7600000000002"/>
  </r>
  <r>
    <x v="73"/>
    <d v="2023-05-03T00:00:00"/>
    <s v="C17269"/>
    <x v="0"/>
    <n v="4"/>
    <n v="433.45"/>
    <s v="129 Main St"/>
    <s v="Gift Card"/>
    <s v="Cancelled"/>
    <s v="TRK79608389"/>
    <n v="4"/>
    <m/>
    <s v="Facebook"/>
    <n v="1733.8"/>
  </r>
  <r>
    <x v="74"/>
    <d v="2023-06-24T00:00:00"/>
    <s v="C25382"/>
    <x v="1"/>
    <n v="5"/>
    <n v="90.87"/>
    <s v="622 Main St"/>
    <s v="Cash"/>
    <s v="Pending"/>
    <s v="TRK64691287"/>
    <n v="5"/>
    <m/>
    <s v="Instagram"/>
    <n v="454.35"/>
  </r>
  <r>
    <x v="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x v="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x v="77"/>
    <d v="2024-05-24T00:00:00"/>
    <s v="C50121"/>
    <x v="1"/>
    <n v="1"/>
    <n v="583.17999999999995"/>
    <s v="348 Main St"/>
    <s v="Credit Card"/>
    <s v="Returned"/>
    <s v="TRK79810059"/>
    <n v="5"/>
    <m/>
    <s v="Google"/>
    <n v="583.17999999999995"/>
  </r>
  <r>
    <x v="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x v="79"/>
    <d v="2025-03-10T00:00:00"/>
    <s v="C76700"/>
    <x v="2"/>
    <n v="2"/>
    <n v="311.91000000000003"/>
    <s v="103 Main St"/>
    <s v="Online"/>
    <s v="Shipped"/>
    <s v="TRK13036341"/>
    <n v="2"/>
    <m/>
    <s v="Facebook"/>
    <n v="623.82000000000005"/>
  </r>
  <r>
    <x v="80"/>
    <d v="2023-06-27T00:00:00"/>
    <s v="C29041"/>
    <x v="1"/>
    <n v="3"/>
    <n v="589.55999999999995"/>
    <s v="591 Main St"/>
    <s v="Online"/>
    <s v="Returned"/>
    <s v="TRK28840655"/>
    <n v="6"/>
    <m/>
    <s v="Facebook"/>
    <n v="1768.68"/>
  </r>
  <r>
    <x v="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x v="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x v="83"/>
    <d v="2023-08-22T00:00:00"/>
    <s v="C15681"/>
    <x v="5"/>
    <n v="4"/>
    <n v="540.41"/>
    <s v="989 Main St"/>
    <s v="Credit Card"/>
    <s v="Cancelled"/>
    <s v="TRK75112172"/>
    <n v="6"/>
    <m/>
    <s v="Referral"/>
    <n v="2161.64"/>
  </r>
  <r>
    <x v="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x v="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x v="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x v="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x v="88"/>
    <d v="2025-06-05T00:00:00"/>
    <s v="C75439"/>
    <x v="6"/>
    <n v="3"/>
    <n v="114.81"/>
    <s v="318 Main St"/>
    <s v="Gift Card"/>
    <s v="Cancelled"/>
    <s v="TRK19831653"/>
    <n v="7"/>
    <m/>
    <s v="Google"/>
    <n v="344.43"/>
  </r>
  <r>
    <x v="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x v="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x v="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x v="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x v="93"/>
    <d v="2023-01-14T00:00:00"/>
    <s v="C97262"/>
    <x v="6"/>
    <n v="4"/>
    <n v="431.01"/>
    <s v="837 Main St"/>
    <s v="Credit Card"/>
    <s v="Returned"/>
    <s v="TRK65990229"/>
    <n v="7"/>
    <m/>
    <s v="Referral"/>
    <n v="1724.04"/>
  </r>
  <r>
    <x v="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x v="95"/>
    <d v="2023-03-24T00:00:00"/>
    <s v="C76761"/>
    <x v="4"/>
    <n v="4"/>
    <n v="117.51"/>
    <s v="839 Main St"/>
    <s v="Debit Card"/>
    <s v="Returned"/>
    <s v="TRK60179774"/>
    <n v="7"/>
    <m/>
    <s v="Referral"/>
    <n v="470.04"/>
  </r>
  <r>
    <x v="96"/>
    <d v="2024-06-01T00:00:00"/>
    <s v="C93007"/>
    <x v="1"/>
    <n v="2"/>
    <n v="232.83"/>
    <s v="103 Main St"/>
    <s v="Gift Card"/>
    <s v="Delivered"/>
    <s v="TRK85696091"/>
    <n v="7"/>
    <m/>
    <s v="Instagram"/>
    <n v="465.66"/>
  </r>
  <r>
    <x v="97"/>
    <d v="2025-01-21T00:00:00"/>
    <s v="C15624"/>
    <x v="2"/>
    <n v="5"/>
    <n v="619.52"/>
    <s v="922 Main St"/>
    <s v="Debit Card"/>
    <s v="Pending"/>
    <s v="TRK40621141"/>
    <n v="9"/>
    <m/>
    <s v="Email"/>
    <n v="3097.6"/>
  </r>
  <r>
    <x v="98"/>
    <d v="2023-01-14T00:00:00"/>
    <s v="C70921"/>
    <x v="4"/>
    <n v="2"/>
    <n v="228.54"/>
    <s v="533 Main St"/>
    <s v="Debit Card"/>
    <s v="Pending"/>
    <s v="TRK54983109"/>
    <n v="3"/>
    <m/>
    <s v="Email"/>
    <n v="457.08"/>
  </r>
  <r>
    <x v="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x v="100"/>
    <d v="2023-02-17T00:00:00"/>
    <s v="C74866"/>
    <x v="1"/>
    <n v="3"/>
    <n v="664.79"/>
    <s v="743 Main St"/>
    <s v="Online"/>
    <s v="Delivered"/>
    <s v="TRK53783265"/>
    <n v="6"/>
    <m/>
    <s v="Facebook"/>
    <n v="1994.37"/>
  </r>
  <r>
    <x v="101"/>
    <d v="2023-11-25T00:00:00"/>
    <s v="C15283"/>
    <x v="4"/>
    <n v="1"/>
    <n v="381.02"/>
    <s v="152 Main St"/>
    <s v="Cash"/>
    <s v="Shipped"/>
    <s v="TRK19286291"/>
    <n v="6"/>
    <m/>
    <s v="Google"/>
    <n v="381.02"/>
  </r>
  <r>
    <x v="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x v="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x v="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x v="105"/>
    <d v="2024-10-24T00:00:00"/>
    <s v="C72290"/>
    <x v="4"/>
    <n v="3"/>
    <n v="185.4"/>
    <s v="810 Main St"/>
    <s v="Gift Card"/>
    <s v="Cancelled"/>
    <s v="TRK68792129"/>
    <n v="7"/>
    <m/>
    <s v="Facebook"/>
    <n v="556.20000000000005"/>
  </r>
  <r>
    <x v="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x v="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x v="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x v="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x v="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x v="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x v="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x v="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x v="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x v="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x v="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x v="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x v="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x v="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x v="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x v="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x v="122"/>
    <d v="2024-04-15T00:00:00"/>
    <s v="C96787"/>
    <x v="5"/>
    <n v="2"/>
    <n v="533.02"/>
    <s v="588 Main St"/>
    <s v="Gift Card"/>
    <s v="Shipped"/>
    <s v="TRK30422853"/>
    <n v="2"/>
    <m/>
    <s v="Facebook"/>
    <n v="1066.04"/>
  </r>
  <r>
    <x v="123"/>
    <d v="2023-07-06T00:00:00"/>
    <s v="C86064"/>
    <x v="6"/>
    <n v="3"/>
    <n v="278.04000000000002"/>
    <s v="727 Main St"/>
    <s v="Online"/>
    <s v="Delivered"/>
    <s v="TRK62182901"/>
    <n v="5"/>
    <m/>
    <s v="Instagram"/>
    <n v="834.12000000000012"/>
  </r>
  <r>
    <x v="124"/>
    <d v="2024-07-28T00:00:00"/>
    <s v="C97148"/>
    <x v="4"/>
    <n v="4"/>
    <n v="283.79000000000002"/>
    <s v="563 Main St"/>
    <s v="Online"/>
    <s v="Pending"/>
    <s v="TRK85321126"/>
    <n v="8"/>
    <m/>
    <s v="Google"/>
    <n v="1135.1600000000001"/>
  </r>
  <r>
    <x v="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x v="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x v="127"/>
    <d v="2023-08-10T00:00:00"/>
    <s v="C71486"/>
    <x v="6"/>
    <n v="3"/>
    <n v="469.32"/>
    <s v="365 Main St"/>
    <s v="Debit Card"/>
    <s v="Shipped"/>
    <s v="TRK73929833"/>
    <n v="3"/>
    <m/>
    <s v="Google"/>
    <n v="1407.96"/>
  </r>
  <r>
    <x v="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x v="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x v="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x v="131"/>
    <d v="2023-01-08T00:00:00"/>
    <s v="C72862"/>
    <x v="2"/>
    <n v="1"/>
    <n v="84.8"/>
    <s v="606 Main St"/>
    <s v="Gift Card"/>
    <s v="Pending"/>
    <s v="TRK51648833"/>
    <n v="5"/>
    <m/>
    <s v="Instagram"/>
    <n v="84.8"/>
  </r>
  <r>
    <x v="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x v="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x v="134"/>
    <d v="2025-06-23T00:00:00"/>
    <s v="C16253"/>
    <x v="5"/>
    <n v="2"/>
    <n v="199.7"/>
    <s v="583 Main St"/>
    <s v="Cash"/>
    <s v="Pending"/>
    <s v="TRK17354894"/>
    <n v="4"/>
    <m/>
    <s v="Email"/>
    <n v="399.4"/>
  </r>
  <r>
    <x v="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x v="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x v="137"/>
    <d v="2024-11-26T00:00:00"/>
    <s v="C50682"/>
    <x v="0"/>
    <n v="2"/>
    <n v="250.98"/>
    <s v="598 Main St"/>
    <s v="Credit Card"/>
    <s v="Delivered"/>
    <s v="TRK12242337"/>
    <n v="5"/>
    <m/>
    <s v="Google"/>
    <n v="501.96"/>
  </r>
  <r>
    <x v="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x v="139"/>
    <d v="2023-04-10T00:00:00"/>
    <s v="C61440"/>
    <x v="1"/>
    <n v="1"/>
    <n v="583.9"/>
    <s v="714 Main St"/>
    <s v="Cash"/>
    <s v="Returned"/>
    <s v="TRK33114521"/>
    <n v="1"/>
    <m/>
    <s v="Email"/>
    <n v="583.9"/>
  </r>
  <r>
    <x v="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x v="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x v="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x v="143"/>
    <d v="2024-06-13T00:00:00"/>
    <s v="C66521"/>
    <x v="3"/>
    <n v="4"/>
    <n v="400.07"/>
    <s v="933 Main St"/>
    <s v="Online"/>
    <s v="Shipped"/>
    <s v="TRK34654244"/>
    <n v="5"/>
    <m/>
    <s v="Referral"/>
    <n v="1600.28"/>
  </r>
  <r>
    <x v="144"/>
    <d v="2023-08-04T00:00:00"/>
    <s v="C63365"/>
    <x v="6"/>
    <n v="5"/>
    <n v="219.78"/>
    <s v="895 Main St"/>
    <s v="Credit Card"/>
    <s v="Pending"/>
    <s v="TRK80100887"/>
    <n v="8"/>
    <m/>
    <s v="Facebook"/>
    <n v="1098.9000000000001"/>
  </r>
  <r>
    <x v="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x v="146"/>
    <d v="2025-04-30T00:00:00"/>
    <s v="C84645"/>
    <x v="2"/>
    <n v="2"/>
    <n v="411.49"/>
    <s v="404 Main St"/>
    <s v="Credit Card"/>
    <s v="Returned"/>
    <s v="TRK68893369"/>
    <n v="4"/>
    <m/>
    <s v="Instagram"/>
    <n v="822.98"/>
  </r>
  <r>
    <x v="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x v="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x v="149"/>
    <d v="2023-12-27T00:00:00"/>
    <s v="C39671"/>
    <x v="5"/>
    <n v="1"/>
    <n v="217.56"/>
    <s v="174 Main St"/>
    <s v="Debit Card"/>
    <s v="Delivered"/>
    <s v="TRK47153818"/>
    <n v="3"/>
    <m/>
    <s v="Facebook"/>
    <n v="217.56"/>
  </r>
  <r>
    <x v="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x v="151"/>
    <d v="2023-12-01T00:00:00"/>
    <s v="C32960"/>
    <x v="4"/>
    <n v="5"/>
    <n v="444.76"/>
    <s v="947 Main St"/>
    <s v="Debit Card"/>
    <s v="Returned"/>
    <s v="TRK91226500"/>
    <n v="7"/>
    <m/>
    <s v="Email"/>
    <n v="2223.8000000000002"/>
  </r>
  <r>
    <x v="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x v="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x v="154"/>
    <d v="2023-07-20T00:00:00"/>
    <s v="C73587"/>
    <x v="1"/>
    <n v="4"/>
    <n v="408.21"/>
    <s v="727 Main St"/>
    <s v="Credit Card"/>
    <s v="Pending"/>
    <s v="TRK13955543"/>
    <n v="9"/>
    <m/>
    <s v="Instagram"/>
    <n v="1632.84"/>
  </r>
  <r>
    <x v="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x v="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x v="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x v="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x v="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x v="160"/>
    <d v="2023-02-17T00:00:00"/>
    <s v="C38669"/>
    <x v="0"/>
    <n v="4"/>
    <n v="101.32"/>
    <s v="240 Main St"/>
    <s v="Cash"/>
    <s v="Pending"/>
    <s v="TRK81738254"/>
    <n v="7"/>
    <m/>
    <s v="Referral"/>
    <n v="405.28"/>
  </r>
  <r>
    <x v="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x v="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x v="163"/>
    <d v="2025-06-24T00:00:00"/>
    <s v="C99589"/>
    <x v="2"/>
    <n v="1"/>
    <n v="641.39"/>
    <s v="277 Main St"/>
    <s v="Online"/>
    <s v="Cancelled"/>
    <s v="TRK16695001"/>
    <n v="1"/>
    <m/>
    <s v="Referral"/>
    <n v="641.39"/>
  </r>
  <r>
    <x v="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x v="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x v="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x v="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x v="168"/>
    <d v="2025-01-04T00:00:00"/>
    <s v="C49517"/>
    <x v="4"/>
    <n v="1"/>
    <n v="594.96"/>
    <s v="878 Main St"/>
    <s v="Cash"/>
    <s v="Returned"/>
    <s v="TRK78551375"/>
    <n v="6"/>
    <m/>
    <s v="Facebook"/>
    <n v="594.96"/>
  </r>
  <r>
    <x v="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x v="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x v="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x v="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x v="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x v="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x v="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x v="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x v="177"/>
    <d v="2023-08-05T00:00:00"/>
    <s v="C55632"/>
    <x v="3"/>
    <n v="5"/>
    <n v="431.69"/>
    <s v="354 Main St"/>
    <s v="Credit Card"/>
    <s v="Pending"/>
    <s v="TRK13003066"/>
    <n v="10"/>
    <m/>
    <s v="Facebook"/>
    <n v="2158.4499999999998"/>
  </r>
  <r>
    <x v="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x v="179"/>
    <d v="2024-11-24T00:00:00"/>
    <s v="C27401"/>
    <x v="5"/>
    <n v="3"/>
    <n v="539.91"/>
    <s v="500 Main St"/>
    <s v="Credit Card"/>
    <s v="Delivered"/>
    <s v="TRK14332053"/>
    <n v="8"/>
    <m/>
    <s v="Email"/>
    <n v="1619.73"/>
  </r>
  <r>
    <x v="180"/>
    <d v="2023-03-18T00:00:00"/>
    <s v="C87216"/>
    <x v="2"/>
    <n v="5"/>
    <n v="316.07"/>
    <s v="970 Main St"/>
    <s v="Cash"/>
    <s v="Returned"/>
    <s v="TRK18713727"/>
    <n v="10"/>
    <m/>
    <s v="Google"/>
    <n v="1580.35"/>
  </r>
  <r>
    <x v="181"/>
    <d v="2024-08-31T00:00:00"/>
    <s v="C38966"/>
    <x v="4"/>
    <n v="5"/>
    <n v="404.39"/>
    <s v="247 Main St"/>
    <s v="Online"/>
    <s v="Shipped"/>
    <s v="TRK17205146"/>
    <n v="10"/>
    <m/>
    <s v="Referral"/>
    <n v="2021.95"/>
  </r>
  <r>
    <x v="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x v="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x v="184"/>
    <d v="2024-04-04T00:00:00"/>
    <s v="C65180"/>
    <x v="2"/>
    <n v="4"/>
    <n v="214.54"/>
    <s v="231 Main St"/>
    <s v="Gift Card"/>
    <s v="Cancelled"/>
    <s v="TRK39255469"/>
    <n v="7"/>
    <m/>
    <s v="Referral"/>
    <n v="858.16"/>
  </r>
  <r>
    <x v="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x v="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x v="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x v="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x v="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x v="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x v="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x v="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x v="193"/>
    <d v="2023-07-21T00:00:00"/>
    <s v="C11644"/>
    <x v="4"/>
    <n v="1"/>
    <n v="46.66"/>
    <s v="429 Main St"/>
    <s v="Cash"/>
    <s v="Cancelled"/>
    <s v="TRK81320339"/>
    <n v="6"/>
    <m/>
    <s v="Google"/>
    <n v="46.66"/>
  </r>
  <r>
    <x v="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x v="195"/>
    <d v="2024-04-22T00:00:00"/>
    <s v="C63619"/>
    <x v="3"/>
    <n v="3"/>
    <n v="619.21"/>
    <s v="801 Main St"/>
    <s v="Debit Card"/>
    <s v="Cancelled"/>
    <s v="TRK65385674"/>
    <n v="6"/>
    <m/>
    <s v="Email"/>
    <n v="1857.63"/>
  </r>
  <r>
    <x v="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x v="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x v="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x v="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x v="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x v="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x v="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x v="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x v="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x v="205"/>
    <d v="2023-03-04T00:00:00"/>
    <s v="C19266"/>
    <x v="6"/>
    <n v="3"/>
    <n v="147.38999999999999"/>
    <s v="609 Main St"/>
    <s v="Debit Card"/>
    <s v="Returned"/>
    <s v="TRK58357269"/>
    <n v="3"/>
    <m/>
    <s v="Email"/>
    <n v="442.17"/>
  </r>
  <r>
    <x v="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x v="207"/>
    <d v="2025-03-18T00:00:00"/>
    <s v="C54595"/>
    <x v="1"/>
    <n v="1"/>
    <n v="121.96"/>
    <s v="999 Main St"/>
    <s v="Debit Card"/>
    <s v="Delivered"/>
    <s v="TRK44416659"/>
    <n v="3"/>
    <m/>
    <s v="Google"/>
    <n v="121.96"/>
  </r>
  <r>
    <x v="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x v="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x v="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x v="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x v="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x v="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x v="214"/>
    <d v="2024-08-21T00:00:00"/>
    <s v="C29483"/>
    <x v="6"/>
    <n v="4"/>
    <n v="305.72000000000003"/>
    <s v="673 Main St"/>
    <s v="Online"/>
    <s v="Delivered"/>
    <s v="TRK89423603"/>
    <n v="5"/>
    <m/>
    <s v="Facebook"/>
    <n v="1222.8800000000001"/>
  </r>
  <r>
    <x v="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x v="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x v="217"/>
    <d v="2024-05-20T00:00:00"/>
    <s v="C61549"/>
    <x v="6"/>
    <n v="4"/>
    <n v="321.51"/>
    <s v="908 Main St"/>
    <s v="Cash"/>
    <s v="Returned"/>
    <s v="TRK65596914"/>
    <n v="9"/>
    <m/>
    <s v="Google"/>
    <n v="1286.04"/>
  </r>
  <r>
    <x v="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x v="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x v="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x v="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x v="222"/>
    <d v="2023-05-04T00:00:00"/>
    <s v="C43124"/>
    <x v="3"/>
    <n v="4"/>
    <n v="693.36"/>
    <s v="931 Main St"/>
    <s v="Online"/>
    <s v="Shipped"/>
    <s v="TRK17293348"/>
    <n v="8"/>
    <m/>
    <s v="Instagram"/>
    <n v="2773.44"/>
  </r>
  <r>
    <x v="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x v="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x v="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x v="226"/>
    <d v="2025-06-27T00:00:00"/>
    <s v="C31501"/>
    <x v="6"/>
    <n v="3"/>
    <n v="588.04999999999995"/>
    <s v="242 Main St"/>
    <s v="Gift Card"/>
    <s v="Delivered"/>
    <s v="TRK93063929"/>
    <n v="8"/>
    <m/>
    <s v="Instagram"/>
    <n v="1764.15"/>
  </r>
  <r>
    <x v="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x v="228"/>
    <d v="2023-05-17T00:00:00"/>
    <s v="C57867"/>
    <x v="3"/>
    <n v="4"/>
    <n v="385.92"/>
    <s v="579 Main St"/>
    <s v="Credit Card"/>
    <s v="Cancelled"/>
    <s v="TRK92055007"/>
    <n v="8"/>
    <m/>
    <s v="Instagram"/>
    <n v="1543.68"/>
  </r>
  <r>
    <x v="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x v="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x v="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x v="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x v="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x v="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x v="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x v="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x v="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x v="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x v="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x v="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x v="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x v="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x v="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x v="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x v="245"/>
    <d v="2025-04-20T00:00:00"/>
    <s v="C12667"/>
    <x v="5"/>
    <n v="1"/>
    <n v="223.3"/>
    <s v="306 Main St"/>
    <s v="Online"/>
    <s v="Returned"/>
    <s v="TRK25390491"/>
    <n v="1"/>
    <m/>
    <s v="Facebook"/>
    <n v="223.3"/>
  </r>
  <r>
    <x v="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x v="247"/>
    <d v="2023-07-20T00:00:00"/>
    <s v="C14600"/>
    <x v="4"/>
    <n v="2"/>
    <n v="220.9"/>
    <s v="785 Main St"/>
    <s v="Gift Card"/>
    <s v="Shipped"/>
    <s v="TRK84984764"/>
    <n v="4"/>
    <m/>
    <s v="Email"/>
    <n v="441.8"/>
  </r>
  <r>
    <x v="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x v="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x v="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x v="251"/>
    <d v="2025-05-15T00:00:00"/>
    <s v="C93175"/>
    <x v="0"/>
    <n v="4"/>
    <n v="14.69"/>
    <s v="814 Main St"/>
    <s v="Cash"/>
    <s v="Cancelled"/>
    <s v="TRK32995144"/>
    <n v="9"/>
    <m/>
    <s v="Email"/>
    <n v="58.76"/>
  </r>
  <r>
    <x v="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x v="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x v="254"/>
    <d v="2023-12-26T00:00:00"/>
    <s v="C10866"/>
    <x v="0"/>
    <n v="3"/>
    <n v="263.19"/>
    <s v="770 Main St"/>
    <s v="Online"/>
    <s v="Delivered"/>
    <s v="TRK34809583"/>
    <n v="5"/>
    <m/>
    <s v="Instagram"/>
    <n v="789.56999999999994"/>
  </r>
  <r>
    <x v="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x v="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x v="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x v="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x v="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x v="260"/>
    <d v="2023-05-17T00:00:00"/>
    <s v="C12245"/>
    <x v="0"/>
    <n v="2"/>
    <n v="407.79"/>
    <s v="153 Main St"/>
    <s v="Debit Card"/>
    <s v="Shipped"/>
    <s v="TRK22000463"/>
    <n v="3"/>
    <m/>
    <s v="Google"/>
    <n v="815.58"/>
  </r>
  <r>
    <x v="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x v="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x v="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x v="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x v="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x v="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x v="267"/>
    <d v="2025-04-17T00:00:00"/>
    <s v="C84480"/>
    <x v="3"/>
    <n v="5"/>
    <n v="468.51"/>
    <s v="803 Main St"/>
    <s v="Debit Card"/>
    <s v="Delivered"/>
    <s v="TRK62361867"/>
    <n v="9"/>
    <m/>
    <s v="Facebook"/>
    <n v="2342.5500000000002"/>
  </r>
  <r>
    <x v="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x v="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x v="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x v="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x v="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x v="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x v="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x v="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x v="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x v="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x v="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x v="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x v="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x v="281"/>
    <d v="2023-07-27T00:00:00"/>
    <s v="C87181"/>
    <x v="6"/>
    <n v="4"/>
    <n v="654.79"/>
    <s v="195 Main St"/>
    <s v="Cash"/>
    <s v="Pending"/>
    <s v="TRK60093390"/>
    <n v="9"/>
    <m/>
    <s v="Referral"/>
    <n v="2619.16"/>
  </r>
  <r>
    <x v="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x v="283"/>
    <d v="2025-02-28T00:00:00"/>
    <s v="C39638"/>
    <x v="5"/>
    <n v="4"/>
    <n v="540.33000000000004"/>
    <s v="990 Main St"/>
    <s v="Cash"/>
    <s v="Shipped"/>
    <s v="TRK69745608"/>
    <n v="6"/>
    <m/>
    <s v="Google"/>
    <n v="2161.3200000000002"/>
  </r>
  <r>
    <x v="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x v="285"/>
    <d v="2025-06-10T00:00:00"/>
    <s v="C67583"/>
    <x v="1"/>
    <n v="1"/>
    <n v="338.31"/>
    <s v="974 Main St"/>
    <s v="Online"/>
    <s v="Delivered"/>
    <s v="TRK93281700"/>
    <n v="3"/>
    <m/>
    <s v="Google"/>
    <n v="338.31"/>
  </r>
  <r>
    <x v="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x v="287"/>
    <d v="2023-11-24T00:00:00"/>
    <s v="C70437"/>
    <x v="3"/>
    <n v="4"/>
    <n v="655.17999999999995"/>
    <s v="630 Main St"/>
    <s v="Online"/>
    <s v="Shipped"/>
    <s v="TRK26628830"/>
    <n v="5"/>
    <m/>
    <s v="Facebook"/>
    <n v="2620.7199999999998"/>
  </r>
  <r>
    <x v="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x v="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x v="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x v="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x v="292"/>
    <d v="2025-01-15T00:00:00"/>
    <s v="C39639"/>
    <x v="0"/>
    <n v="1"/>
    <n v="65.95"/>
    <s v="185 Main St"/>
    <s v="Credit Card"/>
    <s v="Delivered"/>
    <s v="TRK31042152"/>
    <n v="5"/>
    <m/>
    <s v="Facebook"/>
    <n v="65.95"/>
  </r>
  <r>
    <x v="293"/>
    <d v="2023-02-16T00:00:00"/>
    <s v="C33220"/>
    <x v="2"/>
    <n v="4"/>
    <n v="463.04"/>
    <s v="564 Main St"/>
    <s v="Gift Card"/>
    <s v="Returned"/>
    <s v="TRK40450219"/>
    <n v="9"/>
    <m/>
    <s v="Instagram"/>
    <n v="1852.16"/>
  </r>
  <r>
    <x v="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x v="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x v="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x v="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x v="298"/>
    <d v="2023-12-19T00:00:00"/>
    <s v="C19402"/>
    <x v="4"/>
    <n v="4"/>
    <n v="301.17"/>
    <s v="267 Main St"/>
    <s v="Online"/>
    <s v="Cancelled"/>
    <s v="TRK97825212"/>
    <n v="6"/>
    <m/>
    <s v="Email"/>
    <n v="1204.68"/>
  </r>
  <r>
    <x v="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x v="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x v="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x v="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x v="303"/>
    <d v="2024-12-07T00:00:00"/>
    <s v="C48531"/>
    <x v="2"/>
    <n v="1"/>
    <n v="30.54"/>
    <s v="368 Main St"/>
    <s v="Debit Card"/>
    <s v="Returned"/>
    <s v="TRK95462192"/>
    <n v="1"/>
    <m/>
    <s v="Google"/>
    <n v="30.54"/>
  </r>
  <r>
    <x v="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x v="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x v="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x v="307"/>
    <d v="2023-07-01T00:00:00"/>
    <s v="C92407"/>
    <x v="5"/>
    <n v="3"/>
    <n v="557.41"/>
    <s v="135 Main St"/>
    <s v="Online"/>
    <s v="Delivered"/>
    <s v="TRK11755610"/>
    <n v="4"/>
    <m/>
    <s v="Email"/>
    <n v="1672.23"/>
  </r>
  <r>
    <x v="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x v="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x v="310"/>
    <d v="2024-02-24T00:00:00"/>
    <s v="C85863"/>
    <x v="4"/>
    <n v="3"/>
    <n v="132.47999999999999"/>
    <s v="968 Main St"/>
    <s v="Online"/>
    <s v="Shipped"/>
    <s v="TRK16094218"/>
    <n v="4"/>
    <m/>
    <s v="Referral"/>
    <n v="397.43999999999988"/>
  </r>
  <r>
    <x v="311"/>
    <d v="2025-05-17T00:00:00"/>
    <s v="C71698"/>
    <x v="6"/>
    <n v="5"/>
    <n v="489.37"/>
    <s v="274 Main St"/>
    <s v="Online"/>
    <s v="Returned"/>
    <s v="TRK34786818"/>
    <n v="8"/>
    <m/>
    <s v="Instagram"/>
    <n v="2446.85"/>
  </r>
  <r>
    <x v="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x v="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x v="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x v="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x v="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x v="317"/>
    <d v="2023-04-10T00:00:00"/>
    <s v="C88370"/>
    <x v="0"/>
    <n v="2"/>
    <n v="139.94999999999999"/>
    <s v="339 Main St"/>
    <s v="Online"/>
    <s v="Returned"/>
    <s v="TRK22575151"/>
    <n v="5"/>
    <m/>
    <s v="Instagram"/>
    <n v="279.89999999999998"/>
  </r>
  <r>
    <x v="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x v="319"/>
    <d v="2023-12-02T00:00:00"/>
    <s v="C53049"/>
    <x v="5"/>
    <n v="2"/>
    <n v="563.05999999999995"/>
    <s v="413 Main St"/>
    <s v="Cash"/>
    <s v="Returned"/>
    <s v="TRK48974907"/>
    <n v="6"/>
    <m/>
    <s v="Instagram"/>
    <n v="1126.1199999999999"/>
  </r>
  <r>
    <x v="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x v="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x v="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x v="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x v="324"/>
    <d v="2024-06-13T00:00:00"/>
    <s v="C13525"/>
    <x v="2"/>
    <n v="3"/>
    <n v="70.930000000000007"/>
    <s v="847 Main St"/>
    <s v="Debit Card"/>
    <s v="Returned"/>
    <s v="TRK70193221"/>
    <n v="5"/>
    <m/>
    <s v="Referral"/>
    <n v="212.79"/>
  </r>
  <r>
    <x v="325"/>
    <d v="2023-06-29T00:00:00"/>
    <s v="C53545"/>
    <x v="6"/>
    <n v="3"/>
    <n v="361.39"/>
    <s v="665 Main St"/>
    <s v="Credit Card"/>
    <s v="Shipped"/>
    <s v="TRK61123177"/>
    <n v="8"/>
    <m/>
    <s v="Referral"/>
    <n v="1084.17"/>
  </r>
  <r>
    <x v="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x v="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x v="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x v="329"/>
    <d v="2024-12-25T00:00:00"/>
    <s v="C88371"/>
    <x v="3"/>
    <n v="4"/>
    <n v="283.16000000000003"/>
    <s v="306 Main St"/>
    <s v="Credit Card"/>
    <s v="Shipped"/>
    <s v="TRK63224811"/>
    <n v="6"/>
    <m/>
    <s v="Google"/>
    <n v="1132.6400000000001"/>
  </r>
  <r>
    <x v="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x v="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x v="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x v="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x v="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x v="335"/>
    <d v="2025-03-03T00:00:00"/>
    <s v="C58721"/>
    <x v="2"/>
    <n v="3"/>
    <n v="205.86"/>
    <s v="978 Main St"/>
    <s v="Gift Card"/>
    <s v="Shipped"/>
    <s v="TRK34801199"/>
    <n v="4"/>
    <m/>
    <s v="Email"/>
    <n v="617.58000000000004"/>
  </r>
  <r>
    <x v="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x v="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x v="338"/>
    <d v="2023-11-08T00:00:00"/>
    <s v="C53627"/>
    <x v="1"/>
    <n v="5"/>
    <n v="305.49"/>
    <s v="704 Main St"/>
    <s v="Debit Card"/>
    <s v="Shipped"/>
    <s v="TRK64112352"/>
    <n v="10"/>
    <m/>
    <s v="Referral"/>
    <n v="1527.45"/>
  </r>
  <r>
    <x v="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x v="340"/>
    <d v="2023-04-23T00:00:00"/>
    <s v="C76207"/>
    <x v="5"/>
    <n v="5"/>
    <n v="521.25"/>
    <s v="826 Main St"/>
    <s v="Cash"/>
    <s v="Cancelled"/>
    <s v="TRK25569378"/>
    <n v="8"/>
    <m/>
    <s v="Email"/>
    <n v="2606.25"/>
  </r>
  <r>
    <x v="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x v="342"/>
    <d v="2025-06-24T00:00:00"/>
    <s v="C69994"/>
    <x v="0"/>
    <n v="5"/>
    <n v="466.42"/>
    <s v="619 Main St"/>
    <s v="Gift Card"/>
    <s v="Returned"/>
    <s v="TRK95935805"/>
    <n v="5"/>
    <m/>
    <s v="Referral"/>
    <n v="2332.1"/>
  </r>
  <r>
    <x v="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x v="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x v="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x v="346"/>
    <d v="2024-12-06T00:00:00"/>
    <s v="C31764"/>
    <x v="2"/>
    <n v="1"/>
    <n v="655.09"/>
    <s v="876 Main St"/>
    <s v="Cash"/>
    <s v="Pending"/>
    <s v="TRK44680433"/>
    <n v="6"/>
    <m/>
    <s v="Referral"/>
    <n v="655.09"/>
  </r>
  <r>
    <x v="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x v="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x v="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x v="350"/>
    <d v="2023-06-03T00:00:00"/>
    <s v="C13296"/>
    <x v="3"/>
    <n v="2"/>
    <n v="54.41"/>
    <s v="495 Main St"/>
    <s v="Online"/>
    <s v="Shipped"/>
    <s v="TRK60127216"/>
    <n v="6"/>
    <m/>
    <s v="Instagram"/>
    <n v="108.82"/>
  </r>
  <r>
    <x v="351"/>
    <d v="2025-02-15T00:00:00"/>
    <s v="C94248"/>
    <x v="5"/>
    <n v="1"/>
    <n v="64.66"/>
    <s v="494 Main St"/>
    <s v="Debit Card"/>
    <s v="Delivered"/>
    <s v="TRK89406816"/>
    <n v="4"/>
    <m/>
    <s v="Instagram"/>
    <n v="64.66"/>
  </r>
  <r>
    <x v="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x v="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x v="354"/>
    <d v="2023-07-11T00:00:00"/>
    <s v="C31772"/>
    <x v="1"/>
    <n v="1"/>
    <n v="693.41"/>
    <s v="992 Main St"/>
    <s v="Debit Card"/>
    <s v="Shipped"/>
    <s v="TRK11970357"/>
    <n v="4"/>
    <m/>
    <s v="Instagram"/>
    <n v="693.41"/>
  </r>
  <r>
    <x v="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x v="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x v="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x v="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x v="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x v="360"/>
    <d v="2024-06-06T00:00:00"/>
    <s v="C53810"/>
    <x v="1"/>
    <n v="4"/>
    <n v="589.57000000000005"/>
    <s v="779 Main St"/>
    <s v="Cash"/>
    <s v="Pending"/>
    <s v="TRK34630612"/>
    <n v="8"/>
    <m/>
    <s v="Instagram"/>
    <n v="2358.2800000000002"/>
  </r>
  <r>
    <x v="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x v="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x v="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x v="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x v="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x v="366"/>
    <d v="2023-02-10T00:00:00"/>
    <s v="C95213"/>
    <x v="4"/>
    <n v="3"/>
    <n v="602.24"/>
    <s v="603 Main St"/>
    <s v="Debit Card"/>
    <s v="Pending"/>
    <s v="TRK40630538"/>
    <n v="8"/>
    <m/>
    <s v="Referral"/>
    <n v="1806.72"/>
  </r>
  <r>
    <x v="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x v="368"/>
    <d v="2023-05-01T00:00:00"/>
    <s v="C85322"/>
    <x v="0"/>
    <n v="3"/>
    <n v="271.02"/>
    <s v="403 Main St"/>
    <s v="Credit Card"/>
    <s v="Cancelled"/>
    <s v="TRK89728869"/>
    <n v="6"/>
    <m/>
    <s v="Google"/>
    <n v="813.06"/>
  </r>
  <r>
    <x v="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x v="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x v="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x v="372"/>
    <d v="2025-02-14T00:00:00"/>
    <s v="C53645"/>
    <x v="3"/>
    <n v="3"/>
    <n v="483.53"/>
    <s v="166 Main St"/>
    <s v="Cash"/>
    <s v="Returned"/>
    <s v="TRK12123939"/>
    <n v="4"/>
    <m/>
    <s v="Referral"/>
    <n v="1450.59"/>
  </r>
  <r>
    <x v="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x v="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x v="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x v="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x v="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x v="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x v="379"/>
    <d v="2024-09-21T00:00:00"/>
    <s v="C47284"/>
    <x v="1"/>
    <n v="3"/>
    <n v="297.67"/>
    <s v="500 Main St"/>
    <s v="Online"/>
    <s v="Shipped"/>
    <s v="TRK85756094"/>
    <n v="6"/>
    <m/>
    <s v="Google"/>
    <n v="893.01"/>
  </r>
  <r>
    <x v="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x v="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x v="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x v="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x v="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x v="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x v="386"/>
    <d v="2023-04-28T00:00:00"/>
    <s v="C12421"/>
    <x v="2"/>
    <n v="1"/>
    <n v="93.02"/>
    <s v="373 Main St"/>
    <s v="Online"/>
    <s v="Returned"/>
    <s v="TRK32588504"/>
    <n v="4"/>
    <m/>
    <s v="Email"/>
    <n v="93.02"/>
  </r>
  <r>
    <x v="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x v="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x v="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x v="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x v="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x v="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x v="393"/>
    <d v="2024-07-14T00:00:00"/>
    <s v="C39906"/>
    <x v="4"/>
    <n v="1"/>
    <n v="75.010000000000005"/>
    <s v="921 Main St"/>
    <s v="Credit Card"/>
    <s v="Returned"/>
    <s v="TRK24632134"/>
    <n v="3"/>
    <m/>
    <s v="Google"/>
    <n v="75.010000000000005"/>
  </r>
  <r>
    <x v="394"/>
    <d v="2023-07-05T00:00:00"/>
    <s v="C70148"/>
    <x v="6"/>
    <n v="5"/>
    <n v="529.54999999999995"/>
    <s v="359 Main St"/>
    <s v="Gift Card"/>
    <s v="Shipped"/>
    <s v="TRK34848650"/>
    <n v="10"/>
    <m/>
    <s v="Facebook"/>
    <n v="2647.75"/>
  </r>
  <r>
    <x v="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x v="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x v="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x v="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x v="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x v="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x v="401"/>
    <d v="2025-04-09T00:00:00"/>
    <s v="C98635"/>
    <x v="4"/>
    <n v="1"/>
    <n v="538.67999999999995"/>
    <s v="197 Main St"/>
    <s v="Debit Card"/>
    <s v="Returned"/>
    <s v="TRK14225465"/>
    <n v="6"/>
    <m/>
    <s v="Referral"/>
    <n v="538.67999999999995"/>
  </r>
  <r>
    <x v="402"/>
    <d v="2023-04-09T00:00:00"/>
    <s v="C83026"/>
    <x v="4"/>
    <n v="5"/>
    <n v="337.38"/>
    <s v="858 Main St"/>
    <s v="Gift Card"/>
    <s v="Shipped"/>
    <s v="TRK79746259"/>
    <n v="5"/>
    <m/>
    <s v="Referral"/>
    <n v="1686.9"/>
  </r>
  <r>
    <x v="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x v="404"/>
    <d v="2023-03-09T00:00:00"/>
    <s v="C45482"/>
    <x v="0"/>
    <n v="2"/>
    <n v="99.1"/>
    <s v="440 Main St"/>
    <s v="Cash"/>
    <s v="Delivered"/>
    <s v="TRK54571699"/>
    <n v="6"/>
    <m/>
    <s v="Instagram"/>
    <n v="198.2"/>
  </r>
  <r>
    <x v="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x v="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x v="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x v="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x v="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x v="410"/>
    <d v="2024-01-18T00:00:00"/>
    <s v="C37375"/>
    <x v="2"/>
    <n v="2"/>
    <n v="518.23"/>
    <s v="184 Main St"/>
    <s v="Debit Card"/>
    <s v="Shipped"/>
    <s v="TRK52470162"/>
    <n v="5"/>
    <m/>
    <s v="Email"/>
    <n v="1036.46"/>
  </r>
  <r>
    <x v="411"/>
    <d v="2024-06-19T00:00:00"/>
    <s v="C66567"/>
    <x v="6"/>
    <n v="2"/>
    <n v="39.51"/>
    <s v="981 Main St"/>
    <s v="Online"/>
    <s v="Shipped"/>
    <s v="TRK21174822"/>
    <n v="5"/>
    <m/>
    <s v="Facebook"/>
    <n v="79.02"/>
  </r>
  <r>
    <x v="412"/>
    <d v="2025-04-11T00:00:00"/>
    <s v="C42451"/>
    <x v="2"/>
    <n v="5"/>
    <n v="133.01"/>
    <s v="246 Main St"/>
    <s v="Credit Card"/>
    <s v="Returned"/>
    <s v="TRK31313343"/>
    <n v="10"/>
    <m/>
    <s v="Facebook"/>
    <n v="665.05"/>
  </r>
  <r>
    <x v="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x v="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x v="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x v="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x v="417"/>
    <d v="2023-10-24T00:00:00"/>
    <s v="C44492"/>
    <x v="5"/>
    <n v="5"/>
    <n v="55.41"/>
    <s v="954 Main St"/>
    <s v="Online"/>
    <s v="Cancelled"/>
    <s v="TRK51429869"/>
    <n v="5"/>
    <m/>
    <s v="Google"/>
    <n v="277.05"/>
  </r>
  <r>
    <x v="418"/>
    <d v="2023-01-11T00:00:00"/>
    <s v="C74169"/>
    <x v="4"/>
    <n v="1"/>
    <n v="310.93"/>
    <s v="862 Main St"/>
    <s v="Online"/>
    <s v="Cancelled"/>
    <s v="TRK66144809"/>
    <n v="3"/>
    <m/>
    <s v="Facebook"/>
    <n v="310.93"/>
  </r>
  <r>
    <x v="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x v="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x v="421"/>
    <d v="2023-10-15T00:00:00"/>
    <s v="C50683"/>
    <x v="3"/>
    <n v="2"/>
    <n v="288.20999999999998"/>
    <s v="769 Main St"/>
    <s v="Debit Card"/>
    <s v="Cancelled"/>
    <s v="TRK53032122"/>
    <n v="5"/>
    <m/>
    <s v="Email"/>
    <n v="576.41999999999996"/>
  </r>
  <r>
    <x v="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x v="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x v="424"/>
    <d v="2023-04-12T00:00:00"/>
    <s v="C49491"/>
    <x v="3"/>
    <n v="5"/>
    <n v="22.94"/>
    <s v="339 Main St"/>
    <s v="Cash"/>
    <s v="Pending"/>
    <s v="TRK64012257"/>
    <n v="10"/>
    <m/>
    <s v="Email"/>
    <n v="114.7"/>
  </r>
  <r>
    <x v="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x v="426"/>
    <d v="2025-03-16T00:00:00"/>
    <s v="C40967"/>
    <x v="0"/>
    <n v="5"/>
    <n v="57.45"/>
    <s v="315 Main St"/>
    <s v="Cash"/>
    <s v="Cancelled"/>
    <s v="TRK24839296"/>
    <n v="10"/>
    <m/>
    <s v="Facebook"/>
    <n v="287.25"/>
  </r>
  <r>
    <x v="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x v="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x v="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x v="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x v="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x v="432"/>
    <d v="2023-09-04T00:00:00"/>
    <s v="C58443"/>
    <x v="2"/>
    <n v="2"/>
    <n v="424.32"/>
    <s v="662 Main St"/>
    <s v="Credit Card"/>
    <s v="Returned"/>
    <s v="TRK77163738"/>
    <n v="6"/>
    <m/>
    <s v="Referral"/>
    <n v="848.64"/>
  </r>
  <r>
    <x v="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x v="434"/>
    <d v="2023-10-22T00:00:00"/>
    <s v="C73893"/>
    <x v="4"/>
    <n v="5"/>
    <n v="327.68"/>
    <s v="384 Main St"/>
    <s v="Credit Card"/>
    <s v="Returned"/>
    <s v="TRK85939879"/>
    <n v="6"/>
    <m/>
    <s v="Facebook"/>
    <n v="1638.4"/>
  </r>
  <r>
    <x v="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x v="436"/>
    <d v="2023-02-11T00:00:00"/>
    <s v="C14568"/>
    <x v="5"/>
    <n v="4"/>
    <n v="221.33"/>
    <s v="651 Main St"/>
    <s v="Online"/>
    <s v="Pending"/>
    <s v="TRK73545796"/>
    <n v="5"/>
    <m/>
    <s v="Google"/>
    <n v="885.32"/>
  </r>
  <r>
    <x v="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x v="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x v="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x v="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x v="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x v="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x v="443"/>
    <d v="2024-05-14T00:00:00"/>
    <s v="C61668"/>
    <x v="3"/>
    <n v="2"/>
    <n v="69.64"/>
    <s v="813 Main St"/>
    <s v="Cash"/>
    <s v="Returned"/>
    <s v="TRK58970302"/>
    <n v="6"/>
    <m/>
    <s v="Facebook"/>
    <n v="139.28"/>
  </r>
  <r>
    <x v="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x v="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x v="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x v="447"/>
    <d v="2024-04-07T00:00:00"/>
    <s v="C48207"/>
    <x v="4"/>
    <n v="2"/>
    <n v="416.81"/>
    <s v="356 Main St"/>
    <s v="Cash"/>
    <s v="Returned"/>
    <s v="TRK45355655"/>
    <n v="2"/>
    <m/>
    <s v="Facebook"/>
    <n v="833.62"/>
  </r>
  <r>
    <x v="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x v="449"/>
    <d v="2024-08-26T00:00:00"/>
    <s v="C91518"/>
    <x v="2"/>
    <n v="3"/>
    <n v="253.05"/>
    <s v="286 Main St"/>
    <s v="Online"/>
    <s v="Pending"/>
    <s v="TRK48688724"/>
    <n v="3"/>
    <m/>
    <s v="Instagram"/>
    <n v="759.15000000000009"/>
  </r>
  <r>
    <x v="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x v="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x v="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x v="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x v="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x v="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x v="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x v="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x v="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x v="459"/>
    <d v="2024-07-24T00:00:00"/>
    <s v="C90142"/>
    <x v="6"/>
    <n v="1"/>
    <n v="334.39"/>
    <s v="433 Main St"/>
    <s v="Credit Card"/>
    <s v="Returned"/>
    <s v="TRK39717191"/>
    <n v="2"/>
    <m/>
    <s v="Instagram"/>
    <n v="334.39"/>
  </r>
  <r>
    <x v="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x v="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x v="462"/>
    <d v="2025-03-31T00:00:00"/>
    <s v="C22991"/>
    <x v="1"/>
    <n v="1"/>
    <n v="252.68"/>
    <s v="731 Main St"/>
    <s v="Online"/>
    <s v="Cancelled"/>
    <s v="TRK32796086"/>
    <n v="1"/>
    <m/>
    <s v="Referral"/>
    <n v="252.68"/>
  </r>
  <r>
    <x v="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x v="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x v="465"/>
    <d v="2024-02-26T00:00:00"/>
    <s v="C58773"/>
    <x v="4"/>
    <n v="5"/>
    <n v="513.49"/>
    <s v="391 Main St"/>
    <s v="Gift Card"/>
    <s v="Cancelled"/>
    <s v="TRK65438300"/>
    <n v="8"/>
    <m/>
    <s v="Google"/>
    <n v="2567.4499999999998"/>
  </r>
  <r>
    <x v="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x v="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x v="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x v="469"/>
    <d v="2023-11-26T00:00:00"/>
    <s v="C13877"/>
    <x v="3"/>
    <n v="5"/>
    <n v="676.98"/>
    <s v="893 Main St"/>
    <s v="Cash"/>
    <s v="Cancelled"/>
    <s v="TRK17254691"/>
    <n v="5"/>
    <m/>
    <s v="Facebook"/>
    <n v="3384.9"/>
  </r>
  <r>
    <x v="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x v="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x v="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x v="473"/>
    <d v="2025-02-25T00:00:00"/>
    <s v="C28552"/>
    <x v="3"/>
    <n v="2"/>
    <n v="14.93"/>
    <s v="449 Main St"/>
    <s v="Online"/>
    <s v="Shipped"/>
    <s v="TRK71597160"/>
    <n v="4"/>
    <m/>
    <s v="Facebook"/>
    <n v="29.86"/>
  </r>
  <r>
    <x v="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x v="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x v="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x v="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x v="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x v="479"/>
    <d v="2023-02-18T00:00:00"/>
    <s v="C87011"/>
    <x v="0"/>
    <n v="4"/>
    <n v="25.29"/>
    <s v="943 Main St"/>
    <s v="Credit Card"/>
    <s v="Pending"/>
    <s v="TRK21429162"/>
    <n v="8"/>
    <m/>
    <s v="Google"/>
    <n v="101.16"/>
  </r>
  <r>
    <x v="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x v="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x v="482"/>
    <d v="2025-03-02T00:00:00"/>
    <s v="C35852"/>
    <x v="0"/>
    <n v="3"/>
    <n v="381.41"/>
    <s v="989 Main St"/>
    <s v="Online"/>
    <s v="Pending"/>
    <s v="TRK22302049"/>
    <n v="6"/>
    <m/>
    <s v="Instagram"/>
    <n v="1144.23"/>
  </r>
  <r>
    <x v="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x v="484"/>
    <d v="2024-05-29T00:00:00"/>
    <s v="C29092"/>
    <x v="3"/>
    <n v="4"/>
    <n v="15.01"/>
    <s v="767 Main St"/>
    <s v="Cash"/>
    <s v="Cancelled"/>
    <s v="TRK90455340"/>
    <n v="6"/>
    <m/>
    <s v="Facebook"/>
    <n v="60.04"/>
  </r>
  <r>
    <x v="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x v="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x v="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x v="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x v="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x v="490"/>
    <d v="2024-07-22T00:00:00"/>
    <s v="C50097"/>
    <x v="3"/>
    <n v="5"/>
    <n v="467.81"/>
    <s v="539 Main St"/>
    <s v="Online"/>
    <s v="Cancelled"/>
    <s v="TRK62785150"/>
    <n v="10"/>
    <m/>
    <s v="Facebook"/>
    <n v="2339.0500000000002"/>
  </r>
  <r>
    <x v="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x v="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x v="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x v="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x v="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x v="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x v="497"/>
    <d v="2024-10-24T00:00:00"/>
    <s v="C93948"/>
    <x v="4"/>
    <n v="3"/>
    <n v="112.29"/>
    <s v="454 Main St"/>
    <s v="Gift Card"/>
    <s v="Shipped"/>
    <s v="TRK77358113"/>
    <n v="6"/>
    <m/>
    <s v="Google"/>
    <n v="336.87"/>
  </r>
  <r>
    <x v="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x v="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x v="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x v="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x v="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x v="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x v="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x v="505"/>
    <d v="2023-06-11T00:00:00"/>
    <s v="C36014"/>
    <x v="4"/>
    <n v="2"/>
    <n v="434.97"/>
    <s v="558 Main St"/>
    <s v="Online"/>
    <s v="Shipped"/>
    <s v="TRK97246526"/>
    <n v="7"/>
    <m/>
    <s v="Email"/>
    <n v="869.94"/>
  </r>
  <r>
    <x v="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x v="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x v="508"/>
    <d v="2025-05-14T00:00:00"/>
    <s v="C39550"/>
    <x v="1"/>
    <n v="1"/>
    <n v="558.27"/>
    <s v="976 Main St"/>
    <s v="Online"/>
    <s v="Delivered"/>
    <s v="TRK24120267"/>
    <n v="1"/>
    <m/>
    <s v="Referral"/>
    <n v="558.27"/>
  </r>
  <r>
    <x v="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x v="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x v="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x v="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x v="513"/>
    <d v="2025-02-09T00:00:00"/>
    <s v="C64128"/>
    <x v="2"/>
    <n v="3"/>
    <n v="94.88"/>
    <s v="533 Main St"/>
    <s v="Gift Card"/>
    <s v="Shipped"/>
    <s v="TRK37053575"/>
    <n v="8"/>
    <m/>
    <s v="Referral"/>
    <n v="284.64"/>
  </r>
  <r>
    <x v="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x v="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x v="516"/>
    <d v="2024-04-07T00:00:00"/>
    <s v="C47022"/>
    <x v="0"/>
    <n v="3"/>
    <n v="166.99"/>
    <s v="208 Main St"/>
    <s v="Cash"/>
    <s v="Returned"/>
    <s v="TRK28855040"/>
    <n v="8"/>
    <m/>
    <s v="Facebook"/>
    <n v="500.97"/>
  </r>
  <r>
    <x v="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x v="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x v="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x v="520"/>
    <d v="2023-03-10T00:00:00"/>
    <s v="C66332"/>
    <x v="0"/>
    <n v="3"/>
    <n v="635.98"/>
    <s v="959 Main St"/>
    <s v="Cash"/>
    <s v="Returned"/>
    <s v="TRK27063398"/>
    <n v="5"/>
    <m/>
    <s v="Referral"/>
    <n v="1907.94"/>
  </r>
  <r>
    <x v="521"/>
    <d v="2024-02-25T00:00:00"/>
    <s v="C82318"/>
    <x v="1"/>
    <n v="1"/>
    <n v="528.05999999999995"/>
    <s v="991 Main St"/>
    <s v="Credit Card"/>
    <s v="Shipped"/>
    <s v="TRK37534165"/>
    <n v="2"/>
    <m/>
    <s v="Facebook"/>
    <n v="528.05999999999995"/>
  </r>
  <r>
    <x v="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x v="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x v="524"/>
    <d v="2023-10-25T00:00:00"/>
    <s v="C44778"/>
    <x v="1"/>
    <n v="1"/>
    <n v="153"/>
    <s v="103 Main St"/>
    <s v="Credit Card"/>
    <s v="Returned"/>
    <s v="TRK92617366"/>
    <n v="4"/>
    <m/>
    <s v="Referral"/>
    <n v="153"/>
  </r>
  <r>
    <x v="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x v="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x v="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x v="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x v="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x v="530"/>
    <d v="2024-07-18T00:00:00"/>
    <s v="C98450"/>
    <x v="3"/>
    <n v="4"/>
    <n v="89.41"/>
    <s v="613 Main St"/>
    <s v="Online"/>
    <s v="Pending"/>
    <s v="TRK14809530"/>
    <n v="9"/>
    <m/>
    <s v="Google"/>
    <n v="357.64"/>
  </r>
  <r>
    <x v="531"/>
    <d v="2024-07-02T00:00:00"/>
    <s v="C64502"/>
    <x v="6"/>
    <n v="5"/>
    <n v="320.01"/>
    <s v="722 Main St"/>
    <s v="Gift Card"/>
    <s v="Delivered"/>
    <s v="TRK14914388"/>
    <n v="6"/>
    <m/>
    <s v="Referral"/>
    <n v="1600.05"/>
  </r>
  <r>
    <x v="532"/>
    <d v="2025-05-03T00:00:00"/>
    <s v="C47365"/>
    <x v="5"/>
    <n v="2"/>
    <n v="41"/>
    <s v="369 Main St"/>
    <s v="Online"/>
    <s v="Delivered"/>
    <s v="TRK42207882"/>
    <n v="7"/>
    <m/>
    <s v="Email"/>
    <n v="82"/>
  </r>
  <r>
    <x v="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x v="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x v="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x v="536"/>
    <d v="2024-06-09T00:00:00"/>
    <s v="C18724"/>
    <x v="3"/>
    <n v="1"/>
    <n v="616.1"/>
    <s v="124 Main St"/>
    <s v="Cash"/>
    <s v="Returned"/>
    <s v="TRK52508861"/>
    <n v="6"/>
    <m/>
    <s v="Email"/>
    <n v="616.1"/>
  </r>
  <r>
    <x v="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x v="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x v="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x v="540"/>
    <d v="2024-01-29T00:00:00"/>
    <s v="C87281"/>
    <x v="5"/>
    <n v="5"/>
    <n v="648.65"/>
    <s v="852 Main St"/>
    <s v="Online"/>
    <s v="Pending"/>
    <s v="TRK81765057"/>
    <n v="7"/>
    <m/>
    <s v="Referral"/>
    <n v="3243.25"/>
  </r>
  <r>
    <x v="541"/>
    <d v="2023-08-07T00:00:00"/>
    <s v="C69009"/>
    <x v="4"/>
    <n v="5"/>
    <n v="456.06"/>
    <s v="879 Main St"/>
    <s v="Cash"/>
    <s v="Pending"/>
    <s v="TRK61295842"/>
    <n v="10"/>
    <m/>
    <s v="Instagram"/>
    <n v="2280.3000000000002"/>
  </r>
  <r>
    <x v="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x v="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x v="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x v="545"/>
    <d v="2023-12-19T00:00:00"/>
    <s v="C74138"/>
    <x v="0"/>
    <n v="2"/>
    <n v="98.47"/>
    <s v="964 Main St"/>
    <s v="Cash"/>
    <s v="Returned"/>
    <s v="TRK74091695"/>
    <n v="3"/>
    <m/>
    <s v="Instagram"/>
    <n v="196.94"/>
  </r>
  <r>
    <x v="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x v="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x v="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x v="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x v="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x v="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x v="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x v="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x v="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x v="555"/>
    <d v="2023-01-07T00:00:00"/>
    <s v="C88933"/>
    <x v="2"/>
    <n v="1"/>
    <n v="92.04"/>
    <s v="333 Main St"/>
    <s v="Cash"/>
    <s v="Shipped"/>
    <s v="TRK89306964"/>
    <n v="2"/>
    <m/>
    <s v="Facebook"/>
    <n v="92.04"/>
  </r>
  <r>
    <x v="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x v="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x v="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x v="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x v="560"/>
    <d v="2023-01-31T00:00:00"/>
    <s v="C33634"/>
    <x v="0"/>
    <n v="4"/>
    <n v="588.85"/>
    <s v="524 Main St"/>
    <s v="Gift Card"/>
    <s v="Pending"/>
    <s v="TRK93168008"/>
    <n v="7"/>
    <m/>
    <s v="Email"/>
    <n v="2355.4"/>
  </r>
  <r>
    <x v="561"/>
    <d v="2023-01-31T00:00:00"/>
    <s v="C96822"/>
    <x v="4"/>
    <n v="2"/>
    <n v="494.78"/>
    <s v="198 Main St"/>
    <s v="Online"/>
    <s v="Shipped"/>
    <s v="TRK89180077"/>
    <n v="2"/>
    <m/>
    <s v="Google"/>
    <n v="989.56"/>
  </r>
  <r>
    <x v="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x v="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x v="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x v="565"/>
    <d v="2023-05-14T00:00:00"/>
    <s v="C62042"/>
    <x v="2"/>
    <n v="5"/>
    <n v="307.98"/>
    <s v="214 Main St"/>
    <s v="Online"/>
    <s v="Pending"/>
    <s v="TRK42605492"/>
    <n v="10"/>
    <m/>
    <s v="Facebook"/>
    <n v="1539.9"/>
  </r>
  <r>
    <x v="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x v="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x v="568"/>
    <d v="2023-03-10T00:00:00"/>
    <s v="C29072"/>
    <x v="5"/>
    <n v="2"/>
    <n v="343.99"/>
    <s v="312 Main St"/>
    <s v="Online"/>
    <s v="Delivered"/>
    <s v="TRK72334047"/>
    <n v="4"/>
    <m/>
    <s v="Google"/>
    <n v="687.98"/>
  </r>
  <r>
    <x v="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x v="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x v="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x v="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x v="573"/>
    <d v="2023-01-25T00:00:00"/>
    <s v="C13205"/>
    <x v="3"/>
    <n v="5"/>
    <n v="421.42"/>
    <s v="522 Main St"/>
    <s v="Debit Card"/>
    <s v="Cancelled"/>
    <s v="TRK30686578"/>
    <n v="7"/>
    <m/>
    <s v="Instagram"/>
    <n v="2107.1"/>
  </r>
  <r>
    <x v="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x v="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x v="576"/>
    <d v="2024-05-29T00:00:00"/>
    <s v="C14457"/>
    <x v="5"/>
    <n v="5"/>
    <n v="79.08"/>
    <s v="747 Main St"/>
    <s v="Cash"/>
    <s v="Pending"/>
    <s v="TRK42517811"/>
    <n v="8"/>
    <m/>
    <s v="Facebook"/>
    <n v="395.4"/>
  </r>
  <r>
    <x v="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x v="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x v="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x v="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x v="581"/>
    <d v="2024-11-11T00:00:00"/>
    <s v="C44674"/>
    <x v="5"/>
    <n v="1"/>
    <n v="627.34"/>
    <s v="942 Main St"/>
    <s v="Online"/>
    <s v="Delivered"/>
    <s v="TRK87158684"/>
    <n v="1"/>
    <m/>
    <s v="Referral"/>
    <n v="627.34"/>
  </r>
  <r>
    <x v="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x v="583"/>
    <d v="2025-06-15T00:00:00"/>
    <s v="C27072"/>
    <x v="3"/>
    <n v="3"/>
    <n v="154.37"/>
    <s v="996 Main St"/>
    <s v="Gift Card"/>
    <s v="Delivered"/>
    <s v="TRK29750379"/>
    <n v="4"/>
    <m/>
    <s v="Instagram"/>
    <n v="463.11"/>
  </r>
  <r>
    <x v="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x v="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x v="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x v="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x v="588"/>
    <d v="2024-12-10T00:00:00"/>
    <s v="C61849"/>
    <x v="0"/>
    <n v="4"/>
    <n v="577.82000000000005"/>
    <s v="811 Main St"/>
    <s v="Credit Card"/>
    <s v="Delivered"/>
    <s v="TRK47613918"/>
    <n v="9"/>
    <m/>
    <s v="Google"/>
    <n v="2311.2800000000002"/>
  </r>
  <r>
    <x v="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x v="590"/>
    <d v="2023-09-10T00:00:00"/>
    <s v="C55757"/>
    <x v="4"/>
    <n v="2"/>
    <n v="461.13"/>
    <s v="175 Main St"/>
    <s v="Gift Card"/>
    <s v="Returned"/>
    <s v="TRK27356242"/>
    <n v="4"/>
    <m/>
    <s v="Email"/>
    <n v="922.26"/>
  </r>
  <r>
    <x v="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x v="592"/>
    <d v="2024-04-23T00:00:00"/>
    <s v="C42306"/>
    <x v="1"/>
    <n v="3"/>
    <n v="204.27"/>
    <s v="938 Main St"/>
    <s v="Online"/>
    <s v="Returned"/>
    <s v="TRK15499648"/>
    <n v="4"/>
    <m/>
    <s v="Google"/>
    <n v="612.81000000000006"/>
  </r>
  <r>
    <x v="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x v="594"/>
    <d v="2024-02-21T00:00:00"/>
    <s v="C40140"/>
    <x v="1"/>
    <n v="5"/>
    <n v="72.64"/>
    <s v="598 Main St"/>
    <s v="Credit Card"/>
    <s v="Cancelled"/>
    <s v="TRK12671989"/>
    <n v="7"/>
    <m/>
    <s v="Email"/>
    <n v="363.2"/>
  </r>
  <r>
    <x v="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x v="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x v="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x v="598"/>
    <d v="2024-04-26T00:00:00"/>
    <s v="C60329"/>
    <x v="6"/>
    <n v="5"/>
    <n v="495.35"/>
    <s v="826 Main St"/>
    <s v="Credit Card"/>
    <s v="Pending"/>
    <s v="TRK59069987"/>
    <n v="5"/>
    <m/>
    <s v="Facebook"/>
    <n v="2476.75"/>
  </r>
  <r>
    <x v="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x v="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x v="601"/>
    <d v="2023-10-02T00:00:00"/>
    <s v="C12479"/>
    <x v="0"/>
    <n v="5"/>
    <n v="24.82"/>
    <s v="529 Main St"/>
    <s v="Credit Card"/>
    <s v="Shipped"/>
    <s v="TRK73935314"/>
    <n v="10"/>
    <m/>
    <s v="Referral"/>
    <n v="124.1"/>
  </r>
  <r>
    <x v="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x v="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x v="604"/>
    <d v="2025-06-22T00:00:00"/>
    <s v="C99214"/>
    <x v="3"/>
    <n v="3"/>
    <n v="32.619999999999997"/>
    <s v="252 Main St"/>
    <s v="Debit Card"/>
    <s v="Delivered"/>
    <s v="TRK81368481"/>
    <n v="6"/>
    <m/>
    <s v="Facebook"/>
    <n v="97.859999999999985"/>
  </r>
  <r>
    <x v="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x v="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x v="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x v="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x v="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x v="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x v="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x v="612"/>
    <d v="2023-06-02T00:00:00"/>
    <s v="C51811"/>
    <x v="3"/>
    <n v="3"/>
    <n v="445.12"/>
    <s v="339 Main St"/>
    <s v="Gift Card"/>
    <s v="Cancelled"/>
    <s v="TRK82377939"/>
    <n v="8"/>
    <m/>
    <s v="Google"/>
    <n v="1335.36"/>
  </r>
  <r>
    <x v="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x v="614"/>
    <d v="2024-03-08T00:00:00"/>
    <s v="C77363"/>
    <x v="1"/>
    <n v="1"/>
    <n v="96.81"/>
    <s v="807 Main St"/>
    <s v="Gift Card"/>
    <s v="Cancelled"/>
    <s v="TRK12439827"/>
    <n v="3"/>
    <m/>
    <s v="Referral"/>
    <n v="96.81"/>
  </r>
  <r>
    <x v="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x v="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x v="617"/>
    <d v="2024-02-08T00:00:00"/>
    <s v="C57093"/>
    <x v="2"/>
    <n v="3"/>
    <n v="184.47"/>
    <s v="834 Main St"/>
    <s v="Online"/>
    <s v="Cancelled"/>
    <s v="TRK75469057"/>
    <n v="4"/>
    <m/>
    <s v="Referral"/>
    <n v="553.41"/>
  </r>
  <r>
    <x v="618"/>
    <d v="2024-09-03T00:00:00"/>
    <s v="C50565"/>
    <x v="2"/>
    <n v="1"/>
    <n v="411.34"/>
    <s v="399 Main St"/>
    <s v="Debit Card"/>
    <s v="Returned"/>
    <s v="TRK97981418"/>
    <n v="5"/>
    <m/>
    <s v="Instagram"/>
    <n v="411.34"/>
  </r>
  <r>
    <x v="619"/>
    <d v="2024-07-16T00:00:00"/>
    <s v="C38845"/>
    <x v="5"/>
    <n v="1"/>
    <n v="532.89"/>
    <s v="764 Main St"/>
    <s v="Gift Card"/>
    <s v="Pending"/>
    <s v="TRK47637374"/>
    <n v="2"/>
    <m/>
    <s v="Referral"/>
    <n v="532.89"/>
  </r>
  <r>
    <x v="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x v="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x v="622"/>
    <d v="2024-11-02T00:00:00"/>
    <s v="C27078"/>
    <x v="6"/>
    <n v="5"/>
    <n v="236.38"/>
    <s v="128 Main St"/>
    <s v="Credit Card"/>
    <s v="Returned"/>
    <s v="TRK89314307"/>
    <n v="7"/>
    <m/>
    <s v="Facebook"/>
    <n v="1181.9000000000001"/>
  </r>
  <r>
    <x v="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x v="624"/>
    <d v="2024-01-16T00:00:00"/>
    <s v="C25967"/>
    <x v="2"/>
    <n v="5"/>
    <n v="341.96"/>
    <s v="747 Main St"/>
    <s v="Debit Card"/>
    <s v="Delivered"/>
    <s v="TRK88559278"/>
    <n v="6"/>
    <m/>
    <s v="Email"/>
    <n v="1709.8"/>
  </r>
  <r>
    <x v="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x v="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x v="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x v="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x v="629"/>
    <d v="2023-07-07T00:00:00"/>
    <s v="C50137"/>
    <x v="1"/>
    <n v="3"/>
    <n v="19.73"/>
    <s v="840 Main St"/>
    <s v="Online"/>
    <s v="Pending"/>
    <s v="TRK91836131"/>
    <n v="3"/>
    <m/>
    <s v="Referral"/>
    <n v="59.19"/>
  </r>
  <r>
    <x v="630"/>
    <d v="2023-06-23T00:00:00"/>
    <s v="C51481"/>
    <x v="0"/>
    <n v="5"/>
    <n v="248.84"/>
    <s v="140 Main St"/>
    <s v="Debit Card"/>
    <s v="Cancelled"/>
    <s v="TRK33437701"/>
    <n v="10"/>
    <m/>
    <s v="Instagram"/>
    <n v="1244.2"/>
  </r>
  <r>
    <x v="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x v="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x v="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x v="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x v="635"/>
    <d v="2023-12-13T00:00:00"/>
    <s v="C12818"/>
    <x v="3"/>
    <n v="3"/>
    <n v="63.68"/>
    <s v="434 Main St"/>
    <s v="Cash"/>
    <s v="Returned"/>
    <s v="TRK40879983"/>
    <n v="6"/>
    <m/>
    <s v="Facebook"/>
    <n v="191.04"/>
  </r>
  <r>
    <x v="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x v="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x v="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x v="639"/>
    <d v="2023-01-20T00:00:00"/>
    <s v="C22534"/>
    <x v="3"/>
    <n v="1"/>
    <n v="529.19000000000005"/>
    <s v="391 Main St"/>
    <s v="Cash"/>
    <s v="Cancelled"/>
    <s v="TRK17415798"/>
    <n v="5"/>
    <m/>
    <s v="Referral"/>
    <n v="529.19000000000005"/>
  </r>
  <r>
    <x v="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x v="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x v="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x v="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x v="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x v="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x v="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x v="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x v="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x v="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x v="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x v="651"/>
    <d v="2024-11-12T00:00:00"/>
    <s v="C81192"/>
    <x v="3"/>
    <n v="3"/>
    <n v="646.34"/>
    <s v="429 Main St"/>
    <s v="Debit Card"/>
    <s v="Pending"/>
    <s v="TRK76931118"/>
    <n v="5"/>
    <m/>
    <s v="Google"/>
    <n v="1939.02"/>
  </r>
  <r>
    <x v="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x v="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x v="654"/>
    <d v="2023-06-12T00:00:00"/>
    <s v="C62661"/>
    <x v="2"/>
    <n v="3"/>
    <n v="382.37"/>
    <s v="863 Main St"/>
    <s v="Debit Card"/>
    <s v="Returned"/>
    <s v="TRK25748100"/>
    <n v="8"/>
    <m/>
    <s v="Instagram"/>
    <n v="1147.1099999999999"/>
  </r>
  <r>
    <x v="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x v="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x v="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x v="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x v="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x v="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x v="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x v="662"/>
    <d v="2023-01-28T00:00:00"/>
    <s v="C98332"/>
    <x v="5"/>
    <n v="3"/>
    <n v="438.89"/>
    <s v="985 Main St"/>
    <s v="Cash"/>
    <s v="Returned"/>
    <s v="TRK85744797"/>
    <n v="3"/>
    <m/>
    <s v="Facebook"/>
    <n v="1316.67"/>
  </r>
  <r>
    <x v="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x v="664"/>
    <d v="2024-12-19T00:00:00"/>
    <s v="C14847"/>
    <x v="5"/>
    <n v="4"/>
    <n v="194.75"/>
    <s v="188 Main St"/>
    <s v="Cash"/>
    <s v="Shipped"/>
    <s v="TRK46492755"/>
    <n v="5"/>
    <m/>
    <s v="Facebook"/>
    <n v="779"/>
  </r>
  <r>
    <x v="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x v="666"/>
    <d v="2024-08-31T00:00:00"/>
    <s v="C35711"/>
    <x v="0"/>
    <n v="4"/>
    <n v="327.12"/>
    <s v="788 Main St"/>
    <s v="Credit Card"/>
    <s v="Cancelled"/>
    <s v="TRK45281495"/>
    <n v="4"/>
    <m/>
    <s v="Email"/>
    <n v="1308.48"/>
  </r>
  <r>
    <x v="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x v="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x v="669"/>
    <d v="2023-02-05T00:00:00"/>
    <s v="C60547"/>
    <x v="6"/>
    <n v="1"/>
    <n v="257"/>
    <s v="812 Main St"/>
    <s v="Debit Card"/>
    <s v="Cancelled"/>
    <s v="TRK65694249"/>
    <n v="5"/>
    <m/>
    <s v="Referral"/>
    <n v="257"/>
  </r>
  <r>
    <x v="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x v="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x v="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x v="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x v="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x v="675"/>
    <d v="2024-08-06T00:00:00"/>
    <s v="C97749"/>
    <x v="6"/>
    <n v="3"/>
    <n v="342.02"/>
    <s v="906 Main St"/>
    <s v="Debit Card"/>
    <s v="Pending"/>
    <s v="TRK90233116"/>
    <n v="5"/>
    <m/>
    <s v="Email"/>
    <n v="1026.06"/>
  </r>
  <r>
    <x v="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x v="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x v="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x v="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x v="680"/>
    <d v="2023-08-27T00:00:00"/>
    <s v="C16702"/>
    <x v="0"/>
    <n v="3"/>
    <n v="463.39"/>
    <s v="694 Main St"/>
    <s v="Credit Card"/>
    <s v="Returned"/>
    <s v="TRK16953491"/>
    <n v="3"/>
    <m/>
    <s v="Facebook"/>
    <n v="1390.17"/>
  </r>
  <r>
    <x v="681"/>
    <d v="2024-01-30T00:00:00"/>
    <s v="C38262"/>
    <x v="2"/>
    <n v="1"/>
    <n v="155.27000000000001"/>
    <s v="548 Main St"/>
    <s v="Debit Card"/>
    <s v="Shipped"/>
    <s v="TRK47300502"/>
    <n v="6"/>
    <m/>
    <s v="Email"/>
    <n v="155.27000000000001"/>
  </r>
  <r>
    <x v="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x v="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x v="684"/>
    <d v="2024-09-22T00:00:00"/>
    <s v="C96583"/>
    <x v="4"/>
    <n v="4"/>
    <n v="34.840000000000003"/>
    <s v="288 Main St"/>
    <s v="Credit Card"/>
    <s v="Shipped"/>
    <s v="TRK64353241"/>
    <n v="8"/>
    <m/>
    <s v="Email"/>
    <n v="139.36000000000001"/>
  </r>
  <r>
    <x v="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x v="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x v="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x v="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x v="689"/>
    <d v="2023-08-29T00:00:00"/>
    <s v="C13186"/>
    <x v="2"/>
    <n v="2"/>
    <n v="444.84"/>
    <s v="787 Main St"/>
    <s v="Online"/>
    <s v="Shipped"/>
    <s v="TRK56967415"/>
    <n v="7"/>
    <m/>
    <s v="Facebook"/>
    <n v="889.68"/>
  </r>
  <r>
    <x v="690"/>
    <d v="2024-07-12T00:00:00"/>
    <s v="C29318"/>
    <x v="0"/>
    <n v="1"/>
    <n v="24.48"/>
    <s v="128 Main St"/>
    <s v="Gift Card"/>
    <s v="Returned"/>
    <s v="TRK88666721"/>
    <n v="1"/>
    <m/>
    <s v="Instagram"/>
    <n v="24.48"/>
  </r>
  <r>
    <x v="691"/>
    <d v="2024-11-24T00:00:00"/>
    <s v="C36137"/>
    <x v="5"/>
    <n v="3"/>
    <n v="239.08"/>
    <s v="396 Main St"/>
    <s v="Cash"/>
    <s v="Shipped"/>
    <s v="TRK57376416"/>
    <n v="8"/>
    <m/>
    <s v="Google"/>
    <n v="717.24"/>
  </r>
  <r>
    <x v="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x v="693"/>
    <d v="2025-03-12T00:00:00"/>
    <s v="C62070"/>
    <x v="0"/>
    <n v="1"/>
    <n v="176.58"/>
    <s v="674 Main St"/>
    <s v="Debit Card"/>
    <s v="Returned"/>
    <s v="TRK10267127"/>
    <n v="4"/>
    <m/>
    <s v="Referral"/>
    <n v="176.58"/>
  </r>
  <r>
    <x v="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x v="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x v="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x v="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x v="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x v="699"/>
    <d v="2023-11-13T00:00:00"/>
    <s v="C36813"/>
    <x v="5"/>
    <n v="3"/>
    <n v="614.15"/>
    <s v="897 Main St"/>
    <s v="Gift Card"/>
    <s v="Cancelled"/>
    <s v="TRK84088900"/>
    <n v="3"/>
    <m/>
    <s v="Facebook"/>
    <n v="1842.45"/>
  </r>
  <r>
    <x v="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x v="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x v="702"/>
    <d v="2024-06-09T00:00:00"/>
    <s v="C33315"/>
    <x v="4"/>
    <n v="3"/>
    <n v="562.54999999999995"/>
    <s v="154 Main St"/>
    <s v="Debit Card"/>
    <s v="Returned"/>
    <s v="TRK43589369"/>
    <n v="6"/>
    <m/>
    <s v="Email"/>
    <n v="1687.65"/>
  </r>
  <r>
    <x v="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x v="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x v="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x v="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x v="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x v="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x v="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x v="710"/>
    <d v="2024-07-22T00:00:00"/>
    <s v="C48790"/>
    <x v="5"/>
    <n v="5"/>
    <n v="21.54"/>
    <s v="113 Main St"/>
    <s v="Gift Card"/>
    <s v="Returned"/>
    <s v="TRK19086608"/>
    <n v="10"/>
    <m/>
    <s v="Google"/>
    <n v="107.7"/>
  </r>
  <r>
    <x v="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x v="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x v="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x v="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x v="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x v="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x v="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x v="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x v="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x v="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x v="721"/>
    <d v="2024-03-18T00:00:00"/>
    <s v="C46557"/>
    <x v="6"/>
    <n v="2"/>
    <n v="118.59"/>
    <s v="890 Main St"/>
    <s v="Credit Card"/>
    <s v="Delivered"/>
    <s v="TRK56110689"/>
    <n v="2"/>
    <m/>
    <s v="Email"/>
    <n v="237.18"/>
  </r>
  <r>
    <x v="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x v="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x v="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x v="725"/>
    <d v="2023-03-12T00:00:00"/>
    <s v="C95269"/>
    <x v="3"/>
    <n v="2"/>
    <n v="194.85"/>
    <s v="372 Main St"/>
    <s v="Gift Card"/>
    <s v="Returned"/>
    <s v="TRK45670926"/>
    <n v="5"/>
    <m/>
    <s v="Referral"/>
    <n v="389.7"/>
  </r>
  <r>
    <x v="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x v="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x v="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x v="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x v="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x v="731"/>
    <d v="2024-06-07T00:00:00"/>
    <s v="C71310"/>
    <x v="4"/>
    <n v="5"/>
    <n v="584.46"/>
    <s v="308 Main St"/>
    <s v="Credit Card"/>
    <s v="Returned"/>
    <s v="TRK48292586"/>
    <n v="8"/>
    <m/>
    <s v="Email"/>
    <n v="2922.3"/>
  </r>
  <r>
    <x v="732"/>
    <d v="2025-03-07T00:00:00"/>
    <s v="C80987"/>
    <x v="5"/>
    <n v="1"/>
    <n v="132.05000000000001"/>
    <s v="787 Main St"/>
    <s v="Online"/>
    <s v="Delivered"/>
    <s v="TRK42187776"/>
    <n v="2"/>
    <m/>
    <s v="Google"/>
    <n v="132.05000000000001"/>
  </r>
  <r>
    <x v="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x v="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x v="735"/>
    <d v="2024-06-28T00:00:00"/>
    <s v="C94508"/>
    <x v="0"/>
    <n v="4"/>
    <n v="44.07"/>
    <s v="359 Main St"/>
    <s v="Debit Card"/>
    <s v="Pending"/>
    <s v="TRK13443264"/>
    <n v="6"/>
    <m/>
    <s v="Email"/>
    <n v="176.28"/>
  </r>
  <r>
    <x v="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x v="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x v="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x v="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x v="740"/>
    <d v="2024-07-20T00:00:00"/>
    <s v="C10892"/>
    <x v="6"/>
    <n v="2"/>
    <n v="377.47"/>
    <s v="433 Main St"/>
    <s v="Cash"/>
    <s v="Pending"/>
    <s v="TRK76154554"/>
    <n v="7"/>
    <m/>
    <s v="Google"/>
    <n v="754.94"/>
  </r>
  <r>
    <x v="741"/>
    <d v="2025-01-23T00:00:00"/>
    <s v="C99683"/>
    <x v="0"/>
    <n v="5"/>
    <n v="332.64"/>
    <s v="945 Main St"/>
    <s v="Gift Card"/>
    <s v="Delivered"/>
    <s v="TRK87305883"/>
    <n v="10"/>
    <m/>
    <s v="Referral"/>
    <n v="1663.2"/>
  </r>
  <r>
    <x v="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x v="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x v="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x v="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x v="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x v="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x v="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x v="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x v="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x v="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x v="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x v="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x v="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x v="755"/>
    <d v="2023-06-13T00:00:00"/>
    <s v="C54160"/>
    <x v="6"/>
    <n v="3"/>
    <n v="336.71"/>
    <s v="658 Main St"/>
    <s v="Credit Card"/>
    <s v="Pending"/>
    <s v="TRK60515972"/>
    <n v="4"/>
    <m/>
    <s v="Email"/>
    <n v="1010.13"/>
  </r>
  <r>
    <x v="756"/>
    <d v="2024-06-27T00:00:00"/>
    <s v="C14080"/>
    <x v="1"/>
    <n v="1"/>
    <n v="283.69"/>
    <s v="202 Main St"/>
    <s v="Gift Card"/>
    <s v="Shipped"/>
    <s v="TRK93163682"/>
    <n v="6"/>
    <m/>
    <s v="Google"/>
    <n v="283.69"/>
  </r>
  <r>
    <x v="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x v="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x v="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x v="760"/>
    <d v="2025-02-18T00:00:00"/>
    <s v="C96636"/>
    <x v="6"/>
    <n v="1"/>
    <n v="39.56"/>
    <s v="283 Main St"/>
    <s v="Debit Card"/>
    <s v="Cancelled"/>
    <s v="TRK73324346"/>
    <n v="5"/>
    <m/>
    <s v="Google"/>
    <n v="39.56"/>
  </r>
  <r>
    <x v="761"/>
    <d v="2023-06-02T00:00:00"/>
    <s v="C37235"/>
    <x v="6"/>
    <n v="4"/>
    <n v="37.76"/>
    <s v="217 Main St"/>
    <s v="Debit Card"/>
    <s v="Delivered"/>
    <s v="TRK67789367"/>
    <n v="7"/>
    <m/>
    <s v="Google"/>
    <n v="151.04"/>
  </r>
  <r>
    <x v="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x v="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x v="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x v="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x v="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x v="767"/>
    <d v="2025-04-18T00:00:00"/>
    <s v="C19368"/>
    <x v="2"/>
    <n v="2"/>
    <n v="323.22000000000003"/>
    <s v="517 Main St"/>
    <s v="Credit Card"/>
    <s v="Delivered"/>
    <s v="TRK80436037"/>
    <n v="7"/>
    <m/>
    <s v="Instagram"/>
    <n v="646.44000000000005"/>
  </r>
  <r>
    <x v="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x v="769"/>
    <d v="2023-07-06T00:00:00"/>
    <s v="C13366"/>
    <x v="4"/>
    <n v="4"/>
    <n v="678.55"/>
    <s v="568 Main St"/>
    <s v="Cash"/>
    <s v="Delivered"/>
    <s v="TRK98691410"/>
    <n v="5"/>
    <m/>
    <s v="Email"/>
    <n v="2714.2"/>
  </r>
  <r>
    <x v="770"/>
    <d v="2024-02-11T00:00:00"/>
    <s v="C72166"/>
    <x v="6"/>
    <n v="1"/>
    <n v="314.38"/>
    <s v="227 Main St"/>
    <s v="Online"/>
    <s v="Returned"/>
    <s v="TRK67733444"/>
    <n v="6"/>
    <m/>
    <s v="Google"/>
    <n v="314.38"/>
  </r>
  <r>
    <x v="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x v="772"/>
    <d v="2024-07-28T00:00:00"/>
    <s v="C33802"/>
    <x v="0"/>
    <n v="1"/>
    <n v="604.87"/>
    <s v="461 Main St"/>
    <s v="Online"/>
    <s v="Delivered"/>
    <s v="TRK25799478"/>
    <n v="4"/>
    <m/>
    <s v="Instagram"/>
    <n v="604.87"/>
  </r>
  <r>
    <x v="773"/>
    <d v="2025-06-28T00:00:00"/>
    <s v="C99205"/>
    <x v="1"/>
    <n v="2"/>
    <n v="512.33000000000004"/>
    <s v="415 Main St"/>
    <s v="Cash"/>
    <s v="Cancelled"/>
    <s v="TRK48904015"/>
    <n v="7"/>
    <m/>
    <s v="Facebook"/>
    <n v="1024.6600000000001"/>
  </r>
  <r>
    <x v="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x v="775"/>
    <d v="2023-03-04T00:00:00"/>
    <s v="C73941"/>
    <x v="1"/>
    <n v="2"/>
    <n v="625.22"/>
    <s v="569 Main St"/>
    <s v="Online"/>
    <s v="Cancelled"/>
    <s v="TRK22051900"/>
    <n v="5"/>
    <m/>
    <s v="Google"/>
    <n v="1250.44"/>
  </r>
  <r>
    <x v="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x v="777"/>
    <d v="2025-03-21T00:00:00"/>
    <s v="C66116"/>
    <x v="3"/>
    <n v="5"/>
    <n v="64.489999999999995"/>
    <s v="633 Main St"/>
    <s v="Online"/>
    <s v="Cancelled"/>
    <s v="TRK41967983"/>
    <n v="7"/>
    <m/>
    <s v="Facebook"/>
    <n v="322.45"/>
  </r>
  <r>
    <x v="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x v="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x v="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x v="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x v="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x v="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x v="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x v="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x v="786"/>
    <d v="2023-08-23T00:00:00"/>
    <s v="C39130"/>
    <x v="3"/>
    <n v="5"/>
    <n v="45.31"/>
    <s v="774 Main St"/>
    <s v="Online"/>
    <s v="Cancelled"/>
    <s v="TRK99583414"/>
    <n v="8"/>
    <m/>
    <s v="Referral"/>
    <n v="226.55"/>
  </r>
  <r>
    <x v="787"/>
    <d v="2024-03-17T00:00:00"/>
    <s v="C18167"/>
    <x v="6"/>
    <n v="4"/>
    <n v="221.96"/>
    <s v="193 Main St"/>
    <s v="Cash"/>
    <s v="Delivered"/>
    <s v="TRK36841089"/>
    <n v="7"/>
    <m/>
    <s v="Google"/>
    <n v="887.84"/>
  </r>
  <r>
    <x v="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x v="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x v="790"/>
    <d v="2024-09-14T00:00:00"/>
    <s v="C38928"/>
    <x v="5"/>
    <n v="4"/>
    <n v="417.89"/>
    <s v="302 Main St"/>
    <s v="Gift Card"/>
    <s v="Pending"/>
    <s v="TRK96636009"/>
    <n v="4"/>
    <m/>
    <s v="Google"/>
    <n v="1671.56"/>
  </r>
  <r>
    <x v="791"/>
    <d v="2024-01-13T00:00:00"/>
    <s v="C49710"/>
    <x v="3"/>
    <n v="4"/>
    <n v="409.28"/>
    <s v="956 Main St"/>
    <s v="Cash"/>
    <s v="Pending"/>
    <s v="TRK92591237"/>
    <n v="8"/>
    <m/>
    <s v="Email"/>
    <n v="1637.12"/>
  </r>
  <r>
    <x v="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x v="793"/>
    <d v="2024-04-15T00:00:00"/>
    <s v="C91255"/>
    <x v="3"/>
    <n v="5"/>
    <n v="170.22"/>
    <s v="769 Main St"/>
    <s v="Debit Card"/>
    <s v="Delivered"/>
    <s v="TRK69599961"/>
    <n v="8"/>
    <m/>
    <s v="Referral"/>
    <n v="851.1"/>
  </r>
  <r>
    <x v="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x v="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x v="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x v="797"/>
    <d v="2023-02-27T00:00:00"/>
    <s v="C36825"/>
    <x v="5"/>
    <n v="2"/>
    <n v="438.76"/>
    <s v="426 Main St"/>
    <s v="Debit Card"/>
    <s v="Returned"/>
    <s v="TRK72557318"/>
    <n v="2"/>
    <m/>
    <s v="Facebook"/>
    <n v="877.52"/>
  </r>
  <r>
    <x v="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x v="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x v="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x v="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x v="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x v="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x v="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x v="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x v="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x v="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x v="808"/>
    <d v="2024-02-13T00:00:00"/>
    <s v="C65565"/>
    <x v="6"/>
    <n v="3"/>
    <n v="134.05000000000001"/>
    <s v="192 Main St"/>
    <s v="Credit Card"/>
    <s v="Shipped"/>
    <s v="TRK80383756"/>
    <n v="3"/>
    <m/>
    <s v="Google"/>
    <n v="402.15"/>
  </r>
  <r>
    <x v="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x v="810"/>
    <d v="2023-05-31T00:00:00"/>
    <s v="C23637"/>
    <x v="2"/>
    <n v="1"/>
    <n v="553.55999999999995"/>
    <s v="644 Main St"/>
    <s v="Credit Card"/>
    <s v="Cancelled"/>
    <s v="TRK16749863"/>
    <n v="5"/>
    <m/>
    <s v="Referral"/>
    <n v="553.55999999999995"/>
  </r>
  <r>
    <x v="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x v="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x v="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x v="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x v="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x v="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x v="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x v="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x v="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x v="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x v="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x v="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x v="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x v="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x v="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x v="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x v="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x v="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x v="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x v="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x v="831"/>
    <d v="2023-12-18T00:00:00"/>
    <s v="C20124"/>
    <x v="4"/>
    <n v="2"/>
    <n v="88.73"/>
    <s v="140 Main St"/>
    <s v="Online"/>
    <s v="Pending"/>
    <s v="TRK61346824"/>
    <n v="5"/>
    <m/>
    <s v="Google"/>
    <n v="177.46"/>
  </r>
  <r>
    <x v="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x v="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x v="834"/>
    <d v="2024-04-11T00:00:00"/>
    <s v="C98483"/>
    <x v="4"/>
    <n v="5"/>
    <n v="22.14"/>
    <s v="456 Main St"/>
    <s v="Cash"/>
    <s v="Returned"/>
    <s v="TRK22084320"/>
    <n v="10"/>
    <m/>
    <s v="Instagram"/>
    <n v="110.7"/>
  </r>
  <r>
    <x v="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x v="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x v="837"/>
    <d v="2025-06-14T00:00:00"/>
    <s v="C88029"/>
    <x v="3"/>
    <n v="5"/>
    <n v="655.55"/>
    <s v="282 Main St"/>
    <s v="Online"/>
    <s v="Delivered"/>
    <s v="TRK59701278"/>
    <n v="5"/>
    <m/>
    <s v="Email"/>
    <n v="3277.75"/>
  </r>
  <r>
    <x v="838"/>
    <d v="2024-04-11T00:00:00"/>
    <s v="C57798"/>
    <x v="6"/>
    <n v="4"/>
    <n v="577.08000000000004"/>
    <s v="384 Main St"/>
    <s v="Online"/>
    <s v="Pending"/>
    <s v="TRK68797566"/>
    <n v="8"/>
    <m/>
    <s v="Facebook"/>
    <n v="2308.3200000000002"/>
  </r>
  <r>
    <x v="839"/>
    <d v="2023-08-24T00:00:00"/>
    <s v="C82858"/>
    <x v="3"/>
    <n v="3"/>
    <n v="197.97"/>
    <s v="551 Main St"/>
    <s v="Online"/>
    <s v="Cancelled"/>
    <s v="TRK90618490"/>
    <n v="5"/>
    <m/>
    <s v="Google"/>
    <n v="593.91"/>
  </r>
  <r>
    <x v="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x v="841"/>
    <d v="2024-09-19T00:00:00"/>
    <s v="C94658"/>
    <x v="4"/>
    <n v="2"/>
    <n v="443.22"/>
    <s v="742 Main St"/>
    <s v="Credit Card"/>
    <s v="Delivered"/>
    <s v="TRK51732528"/>
    <n v="5"/>
    <m/>
    <s v="Facebook"/>
    <n v="886.44"/>
  </r>
  <r>
    <x v="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x v="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x v="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x v="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x v="846"/>
    <d v="2024-07-04T00:00:00"/>
    <s v="C24765"/>
    <x v="6"/>
    <n v="2"/>
    <n v="359.86"/>
    <s v="646 Main St"/>
    <s v="Debit Card"/>
    <s v="Cancelled"/>
    <s v="TRK43977698"/>
    <n v="4"/>
    <m/>
    <s v="Referral"/>
    <n v="719.72"/>
  </r>
  <r>
    <x v="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x v="848"/>
    <d v="2023-01-01T00:00:00"/>
    <s v="C54675"/>
    <x v="3"/>
    <n v="2"/>
    <n v="645.85"/>
    <s v="634 Main St"/>
    <s v="Online"/>
    <s v="Shipped"/>
    <s v="TRK18049633"/>
    <n v="5"/>
    <m/>
    <s v="Referral"/>
    <n v="1291.7"/>
  </r>
  <r>
    <x v="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x v="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x v="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x v="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x v="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x v="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x v="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x v="856"/>
    <d v="2024-06-03T00:00:00"/>
    <s v="C94698"/>
    <x v="1"/>
    <n v="1"/>
    <n v="586.62"/>
    <s v="871 Main St"/>
    <s v="Debit Card"/>
    <s v="Shipped"/>
    <s v="TRK95768773"/>
    <n v="5"/>
    <m/>
    <s v="Facebook"/>
    <n v="586.62"/>
  </r>
  <r>
    <x v="857"/>
    <d v="2024-03-10T00:00:00"/>
    <s v="C56506"/>
    <x v="1"/>
    <n v="3"/>
    <n v="257.83999999999997"/>
    <s v="185 Main St"/>
    <s v="Online"/>
    <s v="Delivered"/>
    <s v="TRK86808324"/>
    <n v="4"/>
    <m/>
    <s v="Instagram"/>
    <n v="773.52"/>
  </r>
  <r>
    <x v="858"/>
    <d v="2023-08-20T00:00:00"/>
    <s v="C22167"/>
    <x v="2"/>
    <n v="5"/>
    <n v="435.66"/>
    <s v="891 Main St"/>
    <s v="Online"/>
    <s v="Pending"/>
    <s v="TRK70269748"/>
    <n v="9"/>
    <m/>
    <s v="Facebook"/>
    <n v="2178.3000000000002"/>
  </r>
  <r>
    <x v="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x v="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x v="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x v="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x v="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x v="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x v="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x v="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x v="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x v="868"/>
    <d v="2024-06-29T00:00:00"/>
    <s v="C70452"/>
    <x v="0"/>
    <n v="4"/>
    <n v="316.32"/>
    <s v="309 Main St"/>
    <s v="Debit Card"/>
    <s v="Delivered"/>
    <s v="TRK42985882"/>
    <n v="7"/>
    <m/>
    <s v="Facebook"/>
    <n v="1265.28"/>
  </r>
  <r>
    <x v="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x v="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x v="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x v="872"/>
    <d v="2023-07-10T00:00:00"/>
    <s v="C59169"/>
    <x v="3"/>
    <n v="4"/>
    <n v="629.34"/>
    <s v="172 Main St"/>
    <s v="Cash"/>
    <s v="Shipped"/>
    <s v="TRK90883858"/>
    <n v="7"/>
    <m/>
    <s v="Email"/>
    <n v="2517.36"/>
  </r>
  <r>
    <x v="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x v="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x v="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x v="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x v="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x v="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x v="879"/>
    <d v="2025-04-08T00:00:00"/>
    <s v="C56622"/>
    <x v="1"/>
    <n v="2"/>
    <n v="547.66999999999996"/>
    <s v="932 Main St"/>
    <s v="Gift Card"/>
    <s v="Shipped"/>
    <s v="TRK86373987"/>
    <n v="3"/>
    <m/>
    <s v="Instagram"/>
    <n v="1095.3399999999999"/>
  </r>
  <r>
    <x v="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x v="881"/>
    <d v="2023-01-03T00:00:00"/>
    <s v="C59579"/>
    <x v="2"/>
    <n v="2"/>
    <n v="448.85"/>
    <s v="386 Main St"/>
    <s v="Credit Card"/>
    <s v="Pending"/>
    <s v="TRK48000034"/>
    <n v="6"/>
    <m/>
    <s v="Instagram"/>
    <n v="897.7"/>
  </r>
  <r>
    <x v="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x v="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x v="884"/>
    <d v="2024-05-15T00:00:00"/>
    <s v="C71471"/>
    <x v="3"/>
    <n v="1"/>
    <n v="595.54"/>
    <s v="817 Main St"/>
    <s v="Gift Card"/>
    <s v="Shipped"/>
    <s v="TRK52137079"/>
    <n v="4"/>
    <m/>
    <s v="Instagram"/>
    <n v="595.54"/>
  </r>
  <r>
    <x v="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x v="886"/>
    <d v="2023-10-25T00:00:00"/>
    <s v="C29620"/>
    <x v="1"/>
    <n v="1"/>
    <n v="460.13"/>
    <s v="792 Main St"/>
    <s v="Credit Card"/>
    <s v="Returned"/>
    <s v="TRK22046456"/>
    <n v="1"/>
    <m/>
    <s v="Google"/>
    <n v="460.13"/>
  </r>
  <r>
    <x v="887"/>
    <d v="2024-12-19T00:00:00"/>
    <s v="C67932"/>
    <x v="3"/>
    <n v="3"/>
    <n v="171.66"/>
    <s v="857 Main St"/>
    <s v="Debit Card"/>
    <s v="Delivered"/>
    <s v="TRK88547534"/>
    <n v="7"/>
    <m/>
    <s v="Google"/>
    <n v="514.98"/>
  </r>
  <r>
    <x v="888"/>
    <d v="2024-07-23T00:00:00"/>
    <s v="C14427"/>
    <x v="5"/>
    <n v="2"/>
    <n v="266.95"/>
    <s v="833 Main St"/>
    <s v="Credit Card"/>
    <s v="Pending"/>
    <s v="TRK58024529"/>
    <n v="3"/>
    <m/>
    <s v="Instagram"/>
    <n v="533.9"/>
  </r>
  <r>
    <x v="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x v="890"/>
    <d v="2023-08-11T00:00:00"/>
    <s v="C51921"/>
    <x v="5"/>
    <n v="3"/>
    <n v="439.53"/>
    <s v="943 Main St"/>
    <s v="Debit Card"/>
    <s v="Pending"/>
    <s v="TRK85741716"/>
    <n v="5"/>
    <m/>
    <s v="Google"/>
    <n v="1318.59"/>
  </r>
  <r>
    <x v="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x v="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x v="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x v="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x v="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x v="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x v="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x v="898"/>
    <d v="2025-03-05T00:00:00"/>
    <s v="C44619"/>
    <x v="0"/>
    <n v="3"/>
    <n v="158.37"/>
    <s v="742 Main St"/>
    <s v="Cash"/>
    <s v="Shipped"/>
    <s v="TRK66662528"/>
    <n v="6"/>
    <m/>
    <s v="Referral"/>
    <n v="475.11"/>
  </r>
  <r>
    <x v="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x v="900"/>
    <d v="2025-02-07T00:00:00"/>
    <s v="C52342"/>
    <x v="5"/>
    <n v="5"/>
    <n v="73.83"/>
    <s v="991 Main St"/>
    <s v="Debit Card"/>
    <s v="Pending"/>
    <s v="TRK67342586"/>
    <n v="9"/>
    <m/>
    <s v="Instagram"/>
    <n v="369.15"/>
  </r>
  <r>
    <x v="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x v="902"/>
    <d v="2024-07-13T00:00:00"/>
    <s v="C61162"/>
    <x v="0"/>
    <n v="4"/>
    <n v="180.25"/>
    <s v="813 Main St"/>
    <s v="Debit Card"/>
    <s v="Cancelled"/>
    <s v="TRK76712124"/>
    <n v="7"/>
    <m/>
    <s v="Facebook"/>
    <n v="721"/>
  </r>
  <r>
    <x v="903"/>
    <d v="2023-05-17T00:00:00"/>
    <s v="C80868"/>
    <x v="0"/>
    <n v="3"/>
    <n v="473.49"/>
    <s v="205 Main St"/>
    <s v="Credit Card"/>
    <s v="Pending"/>
    <s v="TRK56186636"/>
    <n v="7"/>
    <m/>
    <s v="Email"/>
    <n v="1420.47"/>
  </r>
  <r>
    <x v="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x v="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x v="906"/>
    <d v="2024-09-03T00:00:00"/>
    <s v="C49938"/>
    <x v="0"/>
    <n v="1"/>
    <n v="62.12"/>
    <s v="141 Main St"/>
    <s v="Cash"/>
    <s v="Returned"/>
    <s v="TRK80175572"/>
    <n v="2"/>
    <m/>
    <s v="Email"/>
    <n v="62.12"/>
  </r>
  <r>
    <x v="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x v="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x v="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x v="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x v="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x v="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x v="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x v="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x v="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x v="916"/>
    <d v="2024-06-21T00:00:00"/>
    <s v="C35669"/>
    <x v="4"/>
    <n v="5"/>
    <n v="578.83000000000004"/>
    <s v="165 Main St"/>
    <s v="Cash"/>
    <s v="Returned"/>
    <s v="TRK13928455"/>
    <n v="6"/>
    <m/>
    <s v="Referral"/>
    <n v="2894.15"/>
  </r>
  <r>
    <x v="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x v="918"/>
    <d v="2025-06-24T00:00:00"/>
    <s v="C74359"/>
    <x v="5"/>
    <n v="5"/>
    <n v="368.25"/>
    <s v="706 Main St"/>
    <s v="Online"/>
    <s v="Delivered"/>
    <s v="TRK18250450"/>
    <n v="5"/>
    <m/>
    <s v="Instagram"/>
    <n v="1841.25"/>
  </r>
  <r>
    <x v="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x v="920"/>
    <d v="2025-03-12T00:00:00"/>
    <s v="C26137"/>
    <x v="2"/>
    <n v="2"/>
    <n v="428.09"/>
    <s v="978 Main St"/>
    <s v="Credit Card"/>
    <s v="Returned"/>
    <s v="TRK98110407"/>
    <n v="6"/>
    <m/>
    <s v="Instagram"/>
    <n v="856.18"/>
  </r>
  <r>
    <x v="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x v="922"/>
    <d v="2024-06-17T00:00:00"/>
    <s v="C81857"/>
    <x v="6"/>
    <n v="2"/>
    <n v="563.82000000000005"/>
    <s v="487 Main St"/>
    <s v="Credit Card"/>
    <s v="Pending"/>
    <s v="TRK79737732"/>
    <n v="3"/>
    <m/>
    <s v="Instagram"/>
    <n v="1127.6400000000001"/>
  </r>
  <r>
    <x v="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x v="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x v="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x v="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x v="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x v="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x v="929"/>
    <d v="2024-10-16T00:00:00"/>
    <s v="C67936"/>
    <x v="2"/>
    <n v="2"/>
    <n v="536.25"/>
    <s v="553 Main St"/>
    <s v="Debit Card"/>
    <s v="Pending"/>
    <s v="TRK71803414"/>
    <n v="3"/>
    <m/>
    <s v="Email"/>
    <n v="1072.5"/>
  </r>
  <r>
    <x v="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x v="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x v="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x v="933"/>
    <d v="2023-01-26T00:00:00"/>
    <s v="C59685"/>
    <x v="0"/>
    <n v="2"/>
    <n v="394.16"/>
    <s v="255 Main St"/>
    <s v="Online"/>
    <s v="Shipped"/>
    <s v="TRK43718093"/>
    <n v="2"/>
    <m/>
    <s v="Referral"/>
    <n v="788.32"/>
  </r>
  <r>
    <x v="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x v="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x v="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x v="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x v="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x v="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x v="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x v="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x v="942"/>
    <d v="2023-09-29T00:00:00"/>
    <s v="C17591"/>
    <x v="2"/>
    <n v="1"/>
    <n v="479.76"/>
    <s v="882 Main St"/>
    <s v="Credit Card"/>
    <s v="Pending"/>
    <s v="TRK56070470"/>
    <n v="1"/>
    <m/>
    <s v="Email"/>
    <n v="479.76"/>
  </r>
  <r>
    <x v="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x v="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x v="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x v="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x v="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x v="948"/>
    <d v="2024-06-21T00:00:00"/>
    <s v="C94569"/>
    <x v="1"/>
    <n v="2"/>
    <n v="594.07000000000005"/>
    <s v="739 Main St"/>
    <s v="Gift Card"/>
    <s v="Cancelled"/>
    <s v="TRK79269291"/>
    <n v="2"/>
    <m/>
    <s v="Google"/>
    <n v="1188.1400000000001"/>
  </r>
  <r>
    <x v="949"/>
    <d v="2023-11-09T00:00:00"/>
    <s v="C55778"/>
    <x v="6"/>
    <n v="5"/>
    <n v="110.38"/>
    <s v="319 Main St"/>
    <s v="Cash"/>
    <s v="Pending"/>
    <s v="TRK93797108"/>
    <n v="10"/>
    <m/>
    <s v="Referral"/>
    <n v="551.9"/>
  </r>
  <r>
    <x v="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x v="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x v="952"/>
    <d v="2025-02-27T00:00:00"/>
    <s v="C49111"/>
    <x v="0"/>
    <n v="3"/>
    <n v="503.39"/>
    <s v="225 Main St"/>
    <s v="Online"/>
    <s v="Pending"/>
    <s v="TRK45303393"/>
    <n v="5"/>
    <m/>
    <s v="Facebook"/>
    <n v="1510.17"/>
  </r>
  <r>
    <x v="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x v="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x v="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x v="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x v="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x v="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x v="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x v="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x v="961"/>
    <d v="2024-11-11T00:00:00"/>
    <s v="C55464"/>
    <x v="1"/>
    <n v="1"/>
    <n v="601.36"/>
    <s v="532 Main St"/>
    <s v="Online"/>
    <s v="Shipped"/>
    <s v="TRK81178598"/>
    <n v="1"/>
    <m/>
    <s v="Facebook"/>
    <n v="601.36"/>
  </r>
  <r>
    <x v="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x v="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x v="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x v="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x v="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x v="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x v="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x v="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x v="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x v="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x v="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x v="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x v="974"/>
    <d v="2023-09-27T00:00:00"/>
    <s v="C30722"/>
    <x v="6"/>
    <n v="5"/>
    <n v="266.77999999999997"/>
    <s v="274 Main St"/>
    <s v="Gift Card"/>
    <s v="Cancelled"/>
    <s v="TRK52088168"/>
    <n v="5"/>
    <m/>
    <s v="Email"/>
    <n v="1333.9"/>
  </r>
  <r>
    <x v="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x v="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x v="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x v="978"/>
    <d v="2024-06-25T00:00:00"/>
    <s v="C41508"/>
    <x v="4"/>
    <n v="4"/>
    <n v="107.49"/>
    <s v="993 Main St"/>
    <s v="Cash"/>
    <s v="Delivered"/>
    <s v="TRK61047536"/>
    <n v="5"/>
    <m/>
    <s v="Google"/>
    <n v="429.96"/>
  </r>
  <r>
    <x v="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x v="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x v="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x v="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x v="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x v="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x v="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x v="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x v="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x v="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x v="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x v="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x v="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x v="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x v="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x v="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x v="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x v="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x v="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x v="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x v="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x v="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x v="1001"/>
    <d v="2023-12-08T00:00:00"/>
    <s v="C31371"/>
    <x v="4"/>
    <n v="2"/>
    <n v="253.68"/>
    <s v="122 Main St"/>
    <s v="Gift Card"/>
    <s v="Shipped"/>
    <s v="TRK19554327"/>
    <n v="6"/>
    <m/>
    <s v="Referral"/>
    <n v="507.36"/>
  </r>
  <r>
    <x v="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x v="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x v="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x v="1005"/>
    <d v="2023-03-02T00:00:00"/>
    <s v="C38065"/>
    <x v="4"/>
    <n v="3"/>
    <n v="392.85"/>
    <s v="426 Main St"/>
    <s v="Credit Card"/>
    <s v="Returned"/>
    <s v="TRK11448295"/>
    <n v="6"/>
    <m/>
    <s v="Google"/>
    <n v="1178.55"/>
  </r>
  <r>
    <x v="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x v="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x v="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x v="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x v="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x v="1011"/>
    <d v="2024-12-03T00:00:00"/>
    <s v="C47823"/>
    <x v="1"/>
    <n v="2"/>
    <n v="478.36"/>
    <s v="654 Main St"/>
    <s v="Online"/>
    <s v="Shipped"/>
    <s v="TRK22271097"/>
    <n v="3"/>
    <m/>
    <s v="Google"/>
    <n v="956.72"/>
  </r>
  <r>
    <x v="1012"/>
    <d v="2024-12-03T00:00:00"/>
    <s v="C84570"/>
    <x v="4"/>
    <n v="4"/>
    <n v="30.05"/>
    <s v="301 Main St"/>
    <s v="Online"/>
    <s v="Returned"/>
    <s v="TRK12551882"/>
    <n v="6"/>
    <m/>
    <s v="Facebook"/>
    <n v="120.2"/>
  </r>
  <r>
    <x v="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x v="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x v="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x v="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x v="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x v="1018"/>
    <d v="2023-07-08T00:00:00"/>
    <s v="C77499"/>
    <x v="5"/>
    <n v="3"/>
    <n v="182.48"/>
    <s v="209 Main St"/>
    <s v="Cash"/>
    <s v="Delivered"/>
    <s v="TRK20703086"/>
    <n v="3"/>
    <m/>
    <s v="Instagram"/>
    <n v="547.43999999999994"/>
  </r>
  <r>
    <x v="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x v="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x v="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x v="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x v="1023"/>
    <d v="2024-09-23T00:00:00"/>
    <s v="C65251"/>
    <x v="5"/>
    <n v="5"/>
    <n v="233.67"/>
    <s v="291 Main St"/>
    <s v="Cash"/>
    <s v="Shipped"/>
    <s v="TRK32059025"/>
    <n v="10"/>
    <m/>
    <s v="Referral"/>
    <n v="1168.3499999999999"/>
  </r>
  <r>
    <x v="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x v="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x v="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x v="1027"/>
    <d v="2024-05-21T00:00:00"/>
    <s v="C93467"/>
    <x v="5"/>
    <n v="4"/>
    <n v="554.83000000000004"/>
    <s v="983 Main St"/>
    <s v="Cash"/>
    <s v="Returned"/>
    <s v="TRK77377373"/>
    <n v="6"/>
    <m/>
    <s v="Google"/>
    <n v="2219.3200000000002"/>
  </r>
  <r>
    <x v="1028"/>
    <d v="2023-02-17T00:00:00"/>
    <s v="C60042"/>
    <x v="6"/>
    <n v="4"/>
    <n v="440.31"/>
    <s v="610 Main St"/>
    <s v="Cash"/>
    <s v="Cancelled"/>
    <s v="TRK84651559"/>
    <n v="6"/>
    <m/>
    <s v="Instagram"/>
    <n v="1761.24"/>
  </r>
  <r>
    <x v="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x v="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x v="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x v="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x v="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x v="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x v="1035"/>
    <d v="2023-11-12T00:00:00"/>
    <s v="C70315"/>
    <x v="5"/>
    <n v="4"/>
    <n v="506.11"/>
    <s v="911 Main St"/>
    <s v="Cash"/>
    <s v="Cancelled"/>
    <s v="TRK97732085"/>
    <n v="5"/>
    <m/>
    <s v="Referral"/>
    <n v="2024.44"/>
  </r>
  <r>
    <x v="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x v="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x v="1038"/>
    <d v="2025-03-15T00:00:00"/>
    <s v="C77961"/>
    <x v="2"/>
    <n v="3"/>
    <n v="362.53"/>
    <s v="422 Main St"/>
    <s v="Debit Card"/>
    <s v="Returned"/>
    <s v="TRK28969024"/>
    <n v="5"/>
    <m/>
    <s v="Facebook"/>
    <n v="1087.5899999999999"/>
  </r>
  <r>
    <x v="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x v="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x v="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x v="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x v="1043"/>
    <d v="2025-01-11T00:00:00"/>
    <s v="C43965"/>
    <x v="2"/>
    <n v="2"/>
    <n v="179.96"/>
    <s v="675 Main St"/>
    <s v="Gift Card"/>
    <s v="Shipped"/>
    <s v="TRK94346739"/>
    <n v="5"/>
    <m/>
    <s v="Instagram"/>
    <n v="359.92"/>
  </r>
  <r>
    <x v="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x v="1045"/>
    <d v="2024-09-20T00:00:00"/>
    <s v="C11893"/>
    <x v="5"/>
    <n v="5"/>
    <n v="316.39999999999998"/>
    <s v="671 Main St"/>
    <s v="Gift Card"/>
    <s v="Returned"/>
    <s v="TRK72012758"/>
    <n v="7"/>
    <m/>
    <s v="Email"/>
    <n v="1582"/>
  </r>
  <r>
    <x v="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x v="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x v="1048"/>
    <d v="2024-09-09T00:00:00"/>
    <s v="C57601"/>
    <x v="0"/>
    <n v="4"/>
    <n v="73.650000000000006"/>
    <s v="889 Main St"/>
    <s v="Debit Card"/>
    <s v="Shipped"/>
    <s v="TRK21153699"/>
    <n v="9"/>
    <m/>
    <s v="Google"/>
    <n v="294.60000000000002"/>
  </r>
  <r>
    <x v="1049"/>
    <d v="2024-07-18T00:00:00"/>
    <s v="C60575"/>
    <x v="6"/>
    <n v="5"/>
    <n v="391.86"/>
    <s v="587 Main St"/>
    <s v="Credit Card"/>
    <s v="Shipped"/>
    <s v="TRK44468232"/>
    <n v="6"/>
    <m/>
    <s v="Instagram"/>
    <n v="1959.3"/>
  </r>
  <r>
    <x v="1050"/>
    <d v="2023-08-20T00:00:00"/>
    <s v="C70659"/>
    <x v="5"/>
    <n v="5"/>
    <n v="69.7"/>
    <s v="722 Main St"/>
    <s v="Online"/>
    <s v="Returned"/>
    <s v="TRK49663597"/>
    <n v="9"/>
    <m/>
    <s v="Instagram"/>
    <n v="348.5"/>
  </r>
  <r>
    <x v="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x v="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x v="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x v="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x v="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x v="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x v="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x v="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x v="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x v="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x v="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x v="1062"/>
    <d v="2023-08-23T00:00:00"/>
    <s v="C13501"/>
    <x v="3"/>
    <n v="5"/>
    <n v="85.52"/>
    <s v="301 Main St"/>
    <s v="Gift Card"/>
    <s v="Cancelled"/>
    <s v="TRK65149372"/>
    <n v="5"/>
    <m/>
    <s v="Facebook"/>
    <n v="427.6"/>
  </r>
  <r>
    <x v="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x v="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x v="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x v="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x v="1067"/>
    <d v="2023-06-06T00:00:00"/>
    <s v="C78959"/>
    <x v="1"/>
    <n v="2"/>
    <n v="316.2"/>
    <s v="384 Main St"/>
    <s v="Online"/>
    <s v="Returned"/>
    <s v="TRK37426359"/>
    <n v="2"/>
    <m/>
    <s v="Instagram"/>
    <n v="632.4"/>
  </r>
  <r>
    <x v="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x v="1069"/>
    <d v="2023-02-25T00:00:00"/>
    <s v="C70506"/>
    <x v="0"/>
    <n v="1"/>
    <n v="454.23"/>
    <s v="255 Main St"/>
    <s v="Gift Card"/>
    <s v="Returned"/>
    <s v="TRK12518384"/>
    <n v="3"/>
    <m/>
    <s v="Facebook"/>
    <n v="454.23"/>
  </r>
  <r>
    <x v="1070"/>
    <d v="2024-09-06T00:00:00"/>
    <s v="C46873"/>
    <x v="6"/>
    <n v="4"/>
    <n v="491.29"/>
    <s v="496 Main St"/>
    <s v="Debit Card"/>
    <s v="Pending"/>
    <s v="TRK10926575"/>
    <n v="6"/>
    <m/>
    <s v="Email"/>
    <n v="1965.16"/>
  </r>
  <r>
    <x v="1071"/>
    <d v="2025-06-24T00:00:00"/>
    <s v="C94037"/>
    <x v="1"/>
    <n v="2"/>
    <n v="255.14"/>
    <s v="216 Main St"/>
    <s v="Cash"/>
    <s v="Shipped"/>
    <s v="TRK47536985"/>
    <n v="2"/>
    <m/>
    <s v="Google"/>
    <n v="510.28"/>
  </r>
  <r>
    <x v="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x v="1073"/>
    <d v="2024-10-11T00:00:00"/>
    <s v="C69471"/>
    <x v="2"/>
    <n v="4"/>
    <n v="362.06"/>
    <s v="294 Main St"/>
    <s v="Debit Card"/>
    <s v="Returned"/>
    <s v="TRK11107152"/>
    <n v="4"/>
    <m/>
    <s v="Facebook"/>
    <n v="1448.24"/>
  </r>
  <r>
    <x v="1074"/>
    <d v="2024-05-10T00:00:00"/>
    <s v="C21437"/>
    <x v="1"/>
    <n v="1"/>
    <n v="222.73"/>
    <s v="120 Main St"/>
    <s v="Online"/>
    <s v="Returned"/>
    <s v="TRK81624772"/>
    <n v="4"/>
    <m/>
    <s v="Google"/>
    <n v="222.73"/>
  </r>
  <r>
    <x v="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x v="1076"/>
    <d v="2023-05-08T00:00:00"/>
    <s v="C99116"/>
    <x v="5"/>
    <n v="4"/>
    <n v="686.61"/>
    <s v="176 Main St"/>
    <s v="Cash"/>
    <s v="Shipped"/>
    <s v="TRK52711973"/>
    <n v="6"/>
    <m/>
    <s v="Referral"/>
    <n v="2746.44"/>
  </r>
  <r>
    <x v="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x v="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x v="1079"/>
    <d v="2024-06-20T00:00:00"/>
    <s v="C89979"/>
    <x v="1"/>
    <n v="5"/>
    <n v="634"/>
    <s v="144 Main St"/>
    <s v="Gift Card"/>
    <s v="Delivered"/>
    <s v="TRK99055909"/>
    <n v="8"/>
    <m/>
    <s v="Email"/>
    <n v="3170"/>
  </r>
  <r>
    <x v="1080"/>
    <d v="2023-01-20T00:00:00"/>
    <s v="C70613"/>
    <x v="5"/>
    <n v="5"/>
    <n v="464.74"/>
    <s v="438 Main St"/>
    <s v="Gift Card"/>
    <s v="Delivered"/>
    <s v="TRK33140293"/>
    <n v="7"/>
    <m/>
    <s v="Referral"/>
    <n v="2323.6999999999998"/>
  </r>
  <r>
    <x v="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x v="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x v="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x v="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x v="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x v="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x v="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x v="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x v="1089"/>
    <d v="2025-03-15T00:00:00"/>
    <s v="C13324"/>
    <x v="2"/>
    <n v="2"/>
    <n v="599.74"/>
    <s v="440 Main St"/>
    <s v="Gift Card"/>
    <s v="Shipped"/>
    <s v="TRK66967997"/>
    <n v="2"/>
    <m/>
    <s v="Instagram"/>
    <n v="1199.48"/>
  </r>
  <r>
    <x v="1090"/>
    <d v="2023-02-25T00:00:00"/>
    <s v="C61225"/>
    <x v="0"/>
    <n v="2"/>
    <n v="650.25"/>
    <s v="996 Main St"/>
    <s v="Gift Card"/>
    <s v="Returned"/>
    <s v="TRK37022954"/>
    <n v="6"/>
    <m/>
    <s v="Instagram"/>
    <n v="1300.5"/>
  </r>
  <r>
    <x v="1091"/>
    <d v="2024-10-08T00:00:00"/>
    <s v="C16400"/>
    <x v="5"/>
    <n v="3"/>
    <n v="209.48"/>
    <s v="123 Main St"/>
    <s v="Debit Card"/>
    <s v="Pending"/>
    <s v="TRK57771859"/>
    <n v="4"/>
    <m/>
    <s v="Email"/>
    <n v="628.43999999999994"/>
  </r>
  <r>
    <x v="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x v="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x v="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x v="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x v="1096"/>
    <d v="2025-05-03T00:00:00"/>
    <s v="C18169"/>
    <x v="2"/>
    <n v="2"/>
    <n v="464.92"/>
    <s v="782 Main St"/>
    <s v="Debit Card"/>
    <s v="Returned"/>
    <s v="TRK49482923"/>
    <n v="2"/>
    <m/>
    <s v="Facebook"/>
    <n v="929.84"/>
  </r>
  <r>
    <x v="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x v="1098"/>
    <d v="2023-06-17T00:00:00"/>
    <s v="C91103"/>
    <x v="0"/>
    <n v="4"/>
    <n v="255.86"/>
    <s v="155 Main St"/>
    <s v="Credit Card"/>
    <s v="Delivered"/>
    <s v="TRK91653000"/>
    <n v="7"/>
    <m/>
    <s v="Email"/>
    <n v="1023.44"/>
  </r>
  <r>
    <x v="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x v="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x v="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x v="1102"/>
    <d v="2024-06-03T00:00:00"/>
    <s v="C98474"/>
    <x v="3"/>
    <n v="4"/>
    <n v="347.17"/>
    <s v="997 Main St"/>
    <s v="Debit Card"/>
    <s v="Shipped"/>
    <s v="TRK86192984"/>
    <n v="8"/>
    <m/>
    <s v="Instagram"/>
    <n v="1388.68"/>
  </r>
  <r>
    <x v="1103"/>
    <d v="2023-04-24T00:00:00"/>
    <s v="C90292"/>
    <x v="5"/>
    <n v="4"/>
    <n v="276.32"/>
    <s v="129 Main St"/>
    <s v="Online"/>
    <s v="Delivered"/>
    <s v="TRK26270357"/>
    <n v="5"/>
    <m/>
    <s v="Google"/>
    <n v="1105.28"/>
  </r>
  <r>
    <x v="1104"/>
    <d v="2024-07-25T00:00:00"/>
    <s v="C17075"/>
    <x v="2"/>
    <n v="4"/>
    <n v="314.76"/>
    <s v="850 Main St"/>
    <s v="Online"/>
    <s v="Shipped"/>
    <s v="TRK63547510"/>
    <n v="8"/>
    <m/>
    <s v="Instagram"/>
    <n v="1259.04"/>
  </r>
  <r>
    <x v="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x v="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x v="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x v="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x v="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x v="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x v="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x v="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x v="1113"/>
    <d v="2023-03-19T00:00:00"/>
    <s v="C52914"/>
    <x v="6"/>
    <n v="4"/>
    <n v="209.99"/>
    <s v="168 Main St"/>
    <s v="Cash"/>
    <s v="Delivered"/>
    <s v="TRK80819053"/>
    <n v="8"/>
    <m/>
    <s v="Google"/>
    <n v="839.96"/>
  </r>
  <r>
    <x v="1114"/>
    <d v="2023-03-16T00:00:00"/>
    <s v="C55164"/>
    <x v="2"/>
    <n v="3"/>
    <n v="659.88"/>
    <s v="609 Main St"/>
    <s v="Gift Card"/>
    <s v="Cancelled"/>
    <s v="TRK79610967"/>
    <n v="3"/>
    <m/>
    <s v="Google"/>
    <n v="1979.64"/>
  </r>
  <r>
    <x v="1115"/>
    <d v="2025-06-20T00:00:00"/>
    <s v="C70426"/>
    <x v="5"/>
    <n v="2"/>
    <n v="336.32"/>
    <s v="562 Main St"/>
    <s v="Online"/>
    <s v="Returned"/>
    <s v="TRK89687816"/>
    <n v="3"/>
    <m/>
    <s v="Google"/>
    <n v="672.64"/>
  </r>
  <r>
    <x v="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x v="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x v="1118"/>
    <d v="2024-05-24T00:00:00"/>
    <s v="C58168"/>
    <x v="1"/>
    <n v="3"/>
    <n v="251.48"/>
    <s v="359 Main St"/>
    <s v="Credit Card"/>
    <s v="Returned"/>
    <s v="TRK99102265"/>
    <n v="4"/>
    <m/>
    <s v="Email"/>
    <n v="754.43999999999994"/>
  </r>
  <r>
    <x v="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x v="1120"/>
    <d v="2025-05-10T00:00:00"/>
    <s v="C22919"/>
    <x v="2"/>
    <n v="1"/>
    <n v="195.86"/>
    <s v="267 Main St"/>
    <s v="Online"/>
    <s v="Pending"/>
    <s v="TRK82416295"/>
    <n v="3"/>
    <m/>
    <s v="Facebook"/>
    <n v="195.86"/>
  </r>
  <r>
    <x v="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x v="1122"/>
    <d v="2023-06-07T00:00:00"/>
    <s v="C38840"/>
    <x v="0"/>
    <n v="5"/>
    <n v="678.19"/>
    <s v="766 Main St"/>
    <s v="Online"/>
    <s v="Returned"/>
    <s v="TRK32496970"/>
    <n v="8"/>
    <m/>
    <s v="Facebook"/>
    <n v="3390.95"/>
  </r>
  <r>
    <x v="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x v="1124"/>
    <d v="2023-05-09T00:00:00"/>
    <s v="C33744"/>
    <x v="3"/>
    <n v="4"/>
    <n v="576.87"/>
    <s v="888 Main St"/>
    <s v="Gift Card"/>
    <s v="Returned"/>
    <s v="TRK40245983"/>
    <n v="5"/>
    <m/>
    <s v="Instagram"/>
    <n v="2307.48"/>
  </r>
  <r>
    <x v="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x v="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x v="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x v="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x v="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x v="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x v="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x v="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x v="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x v="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x v="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x v="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x v="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x v="1138"/>
    <d v="2023-12-18T00:00:00"/>
    <s v="C13100"/>
    <x v="6"/>
    <n v="4"/>
    <n v="294.41000000000003"/>
    <s v="188 Main St"/>
    <s v="Debit Card"/>
    <s v="Pending"/>
    <s v="TRK55565668"/>
    <n v="4"/>
    <m/>
    <s v="Instagram"/>
    <n v="1177.6400000000001"/>
  </r>
  <r>
    <x v="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x v="1140"/>
    <d v="2024-06-24T00:00:00"/>
    <s v="C49838"/>
    <x v="4"/>
    <n v="2"/>
    <n v="552.83000000000004"/>
    <s v="904 Main St"/>
    <s v="Credit Card"/>
    <s v="Cancelled"/>
    <s v="TRK38297718"/>
    <n v="3"/>
    <m/>
    <s v="Referral"/>
    <n v="1105.6600000000001"/>
  </r>
  <r>
    <x v="1141"/>
    <d v="2025-02-16T00:00:00"/>
    <s v="C11998"/>
    <x v="3"/>
    <n v="3"/>
    <n v="498.66"/>
    <s v="382 Main St"/>
    <s v="Cash"/>
    <s v="Cancelled"/>
    <s v="TRK26707221"/>
    <n v="6"/>
    <m/>
    <s v="Email"/>
    <n v="1495.98"/>
  </r>
  <r>
    <x v="1142"/>
    <d v="2024-08-23T00:00:00"/>
    <s v="C23405"/>
    <x v="1"/>
    <n v="4"/>
    <n v="695.1"/>
    <s v="484 Main St"/>
    <s v="Debit Card"/>
    <s v="Returned"/>
    <s v="TRK83678708"/>
    <n v="8"/>
    <m/>
    <s v="Email"/>
    <n v="2780.4"/>
  </r>
  <r>
    <x v="1143"/>
    <d v="2023-04-03T00:00:00"/>
    <s v="C41132"/>
    <x v="3"/>
    <n v="1"/>
    <n v="381.61"/>
    <s v="114 Main St"/>
    <s v="Debit Card"/>
    <s v="Pending"/>
    <s v="TRK51040137"/>
    <n v="5"/>
    <m/>
    <s v="Email"/>
    <n v="381.61"/>
  </r>
  <r>
    <x v="1144"/>
    <d v="2023-02-16T00:00:00"/>
    <s v="C88463"/>
    <x v="6"/>
    <n v="5"/>
    <n v="507.94"/>
    <s v="292 Main St"/>
    <s v="Online"/>
    <s v="Cancelled"/>
    <s v="TRK88749996"/>
    <n v="9"/>
    <m/>
    <s v="Facebook"/>
    <n v="2539.6999999999998"/>
  </r>
  <r>
    <x v="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x v="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x v="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x v="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x v="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x v="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x v="1151"/>
    <d v="2023-01-29T00:00:00"/>
    <s v="C94381"/>
    <x v="3"/>
    <n v="2"/>
    <n v="608.04"/>
    <s v="962 Main St"/>
    <s v="Cash"/>
    <s v="Cancelled"/>
    <s v="TRK69804304"/>
    <n v="4"/>
    <m/>
    <s v="Google"/>
    <n v="1216.08"/>
  </r>
  <r>
    <x v="1152"/>
    <d v="2023-11-09T00:00:00"/>
    <s v="C25162"/>
    <x v="2"/>
    <n v="2"/>
    <n v="344.18"/>
    <s v="533 Main St"/>
    <s v="Credit Card"/>
    <s v="Shipped"/>
    <s v="TRK42183078"/>
    <n v="7"/>
    <m/>
    <s v="Referral"/>
    <n v="688.36"/>
  </r>
  <r>
    <x v="1153"/>
    <d v="2024-12-16T00:00:00"/>
    <s v="C98317"/>
    <x v="0"/>
    <n v="4"/>
    <n v="696.71"/>
    <s v="276 Main St"/>
    <s v="Debit Card"/>
    <s v="Shipped"/>
    <s v="TRK37172138"/>
    <n v="4"/>
    <m/>
    <s v="Instagram"/>
    <n v="2786.84"/>
  </r>
  <r>
    <x v="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x v="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x v="1156"/>
    <d v="2023-07-19T00:00:00"/>
    <s v="C20512"/>
    <x v="5"/>
    <n v="4"/>
    <n v="690.78"/>
    <s v="980 Main St"/>
    <s v="Credit Card"/>
    <s v="Shipped"/>
    <s v="TRK98234737"/>
    <n v="9"/>
    <m/>
    <s v="Referral"/>
    <n v="2763.12"/>
  </r>
  <r>
    <x v="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x v="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x v="1159"/>
    <d v="2024-02-23T00:00:00"/>
    <s v="C66112"/>
    <x v="6"/>
    <n v="4"/>
    <n v="466.7"/>
    <s v="874 Main St"/>
    <s v="Debit Card"/>
    <s v="Returned"/>
    <s v="TRK60955607"/>
    <n v="8"/>
    <m/>
    <s v="Instagram"/>
    <n v="1866.8"/>
  </r>
  <r>
    <x v="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x v="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x v="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x v="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x v="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x v="1165"/>
    <d v="2023-07-14T00:00:00"/>
    <s v="C36992"/>
    <x v="3"/>
    <n v="3"/>
    <n v="223.79"/>
    <s v="617 Main St"/>
    <s v="Debit Card"/>
    <s v="Pending"/>
    <s v="TRK63460217"/>
    <n v="3"/>
    <m/>
    <s v="Google"/>
    <n v="671.37"/>
  </r>
  <r>
    <x v="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x v="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x v="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x v="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x v="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x v="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x v="1172"/>
    <d v="2025-02-04T00:00:00"/>
    <s v="C28828"/>
    <x v="6"/>
    <n v="3"/>
    <n v="131.96"/>
    <s v="745 Main St"/>
    <s v="Credit Card"/>
    <s v="Pending"/>
    <s v="TRK32550359"/>
    <n v="8"/>
    <m/>
    <s v="Instagram"/>
    <n v="395.88"/>
  </r>
  <r>
    <x v="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x v="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x v="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x v="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x v="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x v="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x v="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x v="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x v="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x v="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x v="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x v="1184"/>
    <d v="2023-09-27T00:00:00"/>
    <s v="C10222"/>
    <x v="5"/>
    <n v="1"/>
    <n v="204.08"/>
    <s v="979 Main St"/>
    <s v="Gift Card"/>
    <s v="Returned"/>
    <s v="TRK86297895"/>
    <n v="4"/>
    <m/>
    <s v="Google"/>
    <n v="204.08"/>
  </r>
  <r>
    <x v="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x v="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x v="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x v="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x v="1189"/>
    <d v="2024-08-17T00:00:00"/>
    <s v="C96136"/>
    <x v="2"/>
    <n v="5"/>
    <n v="389.22"/>
    <s v="149 Main St"/>
    <s v="Cash"/>
    <s v="Cancelled"/>
    <s v="TRK60856682"/>
    <n v="7"/>
    <m/>
    <s v="Referral"/>
    <n v="1946.1"/>
  </r>
  <r>
    <x v="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x v="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x v="1192"/>
    <d v="2024-02-28T00:00:00"/>
    <s v="C72007"/>
    <x v="3"/>
    <n v="3"/>
    <n v="432.85"/>
    <s v="999 Main St"/>
    <s v="Online"/>
    <s v="Pending"/>
    <s v="TRK16240916"/>
    <n v="4"/>
    <m/>
    <s v="Instagram"/>
    <n v="1298.55"/>
  </r>
  <r>
    <x v="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x v="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x v="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x v="1196"/>
    <d v="2024-03-04T00:00:00"/>
    <s v="C20095"/>
    <x v="0"/>
    <n v="2"/>
    <n v="662.53"/>
    <s v="778 Main St"/>
    <s v="Online"/>
    <s v="Cancelled"/>
    <s v="TRK69207593"/>
    <n v="5"/>
    <m/>
    <s v="Facebook"/>
    <n v="1325.06"/>
  </r>
  <r>
    <x v="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x v="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x v="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936DA-3349-471E-AB85-F073B2C1C074}" name="PivotTable19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7:C15" firstHeaderRow="0" firstDataRow="1" firstDataCol="1"/>
  <pivotFields count="14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TotalPrice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DDE5B5-A3C8-4271-B8FC-66C59C5C341D}" name="Table1" displayName="Table1" ref="A6:B14" totalsRowShown="0" headerRowDxfId="4">
  <tableColumns count="2">
    <tableColumn id="1" xr3:uid="{2506DDF3-6BB9-403E-8DF5-5231EDDC97BB}" name="Product" dataDxfId="3"/>
    <tableColumn id="2" xr3:uid="{4C35F21D-59C7-4D93-AB0F-492408502C1E}" name="Quantity">
      <calculatedColumnFormula>SUMIF('01_Raw_Data'!D2:D1201,'05_Ctrl_T_Table'!A7,'01_Raw_Data'!E2:E1201)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D022D6-006A-4363-8950-D7AACFAAE56A}" name="Table2" displayName="Table2" ref="A22:B30" totalsRowShown="0">
  <tableColumns count="2">
    <tableColumn id="1" xr3:uid="{81F76B28-40D8-472F-9739-11B644649ACF}" name="Product"/>
    <tableColumn id="2" xr3:uid="{640B55DA-952B-4D60-A79E-F5B8663359DA}" name="Total Sales">
      <calculatedColumnFormula>SUMIF('01_Raw_Data'!D2:D1201,'05_Ctrl_T_Table'!A23,'01_Raw_Data'!N2:N1201)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6A7309-9A5F-46F6-A65E-BFE68F0ED02C}" name="Table3" displayName="Table3" ref="A43:B49" totalsRowShown="0" headerRowDxfId="2">
  <tableColumns count="2">
    <tableColumn id="1" xr3:uid="{1B6D6BA7-95FA-4735-BD6A-5312A03EC22F}" name="Payment Method" dataDxfId="1"/>
    <tableColumn id="2" xr3:uid="{58CB53D5-93FE-4078-8B7E-532F043E27FC}" name="Total Sales" dataDxfId="0">
      <calculatedColumnFormula>SUMIF('01_Raw_Data'!H2:H1201,Table3[[#This Row],[Payment Method]],'01_Raw_Data'!N2:N1201)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G1" workbookViewId="0">
      <selection activeCell="M9" sqref="M9"/>
    </sheetView>
  </sheetViews>
  <sheetFormatPr defaultColWidth="15.77734375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4283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ED44-DC05-41C2-8CA3-D8BFE718F252}">
  <dimension ref="A1:H23"/>
  <sheetViews>
    <sheetView workbookViewId="0">
      <selection activeCell="A11" sqref="A11"/>
    </sheetView>
  </sheetViews>
  <sheetFormatPr defaultRowHeight="14.4" customHeight="1"/>
  <cols>
    <col min="1" max="1" width="47.33203125" bestFit="1" customWidth="1"/>
    <col min="2" max="2" width="15.33203125" customWidth="1"/>
    <col min="3" max="3" width="11.88671875" customWidth="1"/>
    <col min="4" max="4" width="12.21875" customWidth="1"/>
    <col min="6" max="6" width="8.88671875" customWidth="1"/>
  </cols>
  <sheetData>
    <row r="1" spans="1:8" s="4" customFormat="1" ht="14.4" customHeight="1"/>
    <row r="2" spans="1:8" ht="14.4" customHeight="1">
      <c r="A2" s="6" t="s">
        <v>4288</v>
      </c>
      <c r="H2" t="str" cm="1">
        <f t="array" ref="H2:H8">_xlfn.UNIQUE('01_Raw_Data'!D2:D1201)</f>
        <v>Monitor</v>
      </c>
    </row>
    <row r="3" spans="1:8" ht="14.4" customHeight="1">
      <c r="C3" t="s">
        <v>4284</v>
      </c>
      <c r="F3" s="3"/>
      <c r="H3" t="str">
        <v>Phone</v>
      </c>
    </row>
    <row r="4" spans="1:8" s="5" customFormat="1" ht="14.4" customHeight="1">
      <c r="A4" s="3" t="s">
        <v>3</v>
      </c>
      <c r="B4" s="3" t="s">
        <v>4285</v>
      </c>
      <c r="C4" s="3" t="s">
        <v>4</v>
      </c>
      <c r="D4" s="3" t="s">
        <v>5</v>
      </c>
      <c r="H4" t="str">
        <v>Tablet</v>
      </c>
    </row>
    <row r="5" spans="1:8" ht="14.4" customHeight="1">
      <c r="A5" s="5" t="s">
        <v>2406</v>
      </c>
      <c r="B5" s="5">
        <f>SUMIF('01_Raw_Data'!D2:D1201,'02_Aggregate_FunTable'!A5,'01_Raw_Data'!N2:N1201)</f>
        <v>195620.11000000002</v>
      </c>
      <c r="C5">
        <f>SUMIF('01_Raw_Data'!D2:D1201,'02_Aggregate_FunTable'!A5,'01_Raw_Data'!E2:E1201)</f>
        <v>562</v>
      </c>
      <c r="D5">
        <f>AVERAGEIF('01_Raw_Data'!D2:D1201,'02_Aggregate_FunTable'!A5,'01_Raw_Data'!F2:F1201)</f>
        <v>355.66028089887635</v>
      </c>
      <c r="H5" t="str">
        <v>Chair</v>
      </c>
    </row>
    <row r="6" spans="1:8" ht="14.4" customHeight="1">
      <c r="H6" t="str">
        <v>Printer</v>
      </c>
    </row>
    <row r="7" spans="1:8" ht="14.4" customHeight="1">
      <c r="H7" t="str">
        <v>Laptop</v>
      </c>
    </row>
    <row r="8" spans="1:8" ht="14.4" customHeight="1">
      <c r="A8" s="11" t="s">
        <v>4286</v>
      </c>
      <c r="H8" s="5" t="str">
        <v>Desk</v>
      </c>
    </row>
    <row r="9" spans="1:8" ht="14.4" customHeight="1">
      <c r="B9" s="8"/>
    </row>
    <row r="10" spans="1:8" ht="14.4" customHeight="1">
      <c r="A10" s="9" t="s">
        <v>4287</v>
      </c>
      <c r="B10" s="10" t="s">
        <v>4285</v>
      </c>
    </row>
    <row r="11" spans="1:8" s="5" customFormat="1" ht="14.4" customHeight="1">
      <c r="A11" s="5" t="s">
        <v>3068</v>
      </c>
      <c r="B11" s="5">
        <f>SUMIF('01_Raw_Data'!H2:H1201,'02_Aggregate_FunTable'!A11,'01_Raw_Data'!N2:N1201)</f>
        <v>246323.9200000001</v>
      </c>
    </row>
    <row r="15" spans="1:8" ht="14.4" customHeight="1">
      <c r="A15" s="7"/>
    </row>
    <row r="17" spans="2:3" ht="14.4" customHeight="1">
      <c r="B17" s="4"/>
    </row>
    <row r="23" spans="2:3" ht="14.4" customHeight="1">
      <c r="C23" t="s">
        <v>4289</v>
      </c>
    </row>
  </sheetData>
  <dataValidations count="1">
    <dataValidation type="list" allowBlank="1" showInputMessage="1" showErrorMessage="1" sqref="A5" xr:uid="{B98D27AA-FAF4-4145-AEDF-B343B5DB9820}">
      <formula1>$H$2:$H$8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E90DA2-2EB3-4DE7-8939-14455E1CAFFF}">
          <x14:formula1>
            <xm:f>'01_Raw_Data'!$H$2:$H$1201</xm:f>
          </x14:formula1>
          <xm:sqref>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3013-0AA3-45D0-B2F2-32227702B0BA}">
  <dimension ref="A1:H20"/>
  <sheetViews>
    <sheetView workbookViewId="0">
      <selection activeCell="I8" sqref="I8"/>
    </sheetView>
  </sheetViews>
  <sheetFormatPr defaultColWidth="11.21875" defaultRowHeight="14.4"/>
  <cols>
    <col min="1" max="1" width="10.6640625" bestFit="1" customWidth="1"/>
    <col min="2" max="2" width="9.6640625" customWidth="1"/>
    <col min="3" max="3" width="9.33203125" customWidth="1"/>
    <col min="4" max="4" width="13.21875" customWidth="1"/>
    <col min="5" max="5" width="12.6640625" customWidth="1"/>
    <col min="6" max="6" width="12" customWidth="1"/>
    <col min="7" max="7" width="13.44140625" customWidth="1"/>
    <col min="8" max="8" width="12" bestFit="1" customWidth="1"/>
  </cols>
  <sheetData>
    <row r="1" spans="1:8">
      <c r="A1" s="1" t="s">
        <v>0</v>
      </c>
      <c r="B1" s="1" t="s">
        <v>3</v>
      </c>
      <c r="C1" s="1" t="s">
        <v>4</v>
      </c>
      <c r="D1" s="1" t="s">
        <v>5</v>
      </c>
      <c r="E1" s="1" t="s">
        <v>13</v>
      </c>
      <c r="F1" s="12" t="s">
        <v>4290</v>
      </c>
      <c r="G1" s="3" t="s">
        <v>4291</v>
      </c>
      <c r="H1" s="13" t="s">
        <v>4292</v>
      </c>
    </row>
    <row r="2" spans="1:8">
      <c r="A2" t="s">
        <v>14</v>
      </c>
      <c r="B2" t="s">
        <v>2403</v>
      </c>
      <c r="C2">
        <v>5</v>
      </c>
      <c r="D2">
        <v>570.62</v>
      </c>
      <c r="E2">
        <v>2853.1</v>
      </c>
      <c r="F2">
        <f>AVERAGE(C2:E2)</f>
        <v>1142.9066666666665</v>
      </c>
      <c r="G2" cm="1">
        <f t="array" ref="G2:G20">IFERROR(F2:F20,"SOLVE")</f>
        <v>1142.9066666666665</v>
      </c>
      <c r="H2">
        <f>IFERROR(AVERAGE(C2:E2),"Solve")</f>
        <v>1142.9066666666665</v>
      </c>
    </row>
    <row r="3" spans="1:8">
      <c r="A3" t="s">
        <v>15</v>
      </c>
      <c r="B3" t="s">
        <v>2404</v>
      </c>
      <c r="C3">
        <v>2</v>
      </c>
      <c r="D3">
        <v>151.35</v>
      </c>
      <c r="E3">
        <v>302.7</v>
      </c>
      <c r="F3">
        <f>AVERAGE(C3:E3)</f>
        <v>152.01666666666665</v>
      </c>
      <c r="G3">
        <v>152.01666666666665</v>
      </c>
      <c r="H3">
        <f>IFERROR(AVERAGE(C3:E3),"Solve")</f>
        <v>152.01666666666665</v>
      </c>
    </row>
    <row r="4" spans="1:8">
      <c r="A4" t="s">
        <v>16</v>
      </c>
      <c r="B4" t="s">
        <v>2405</v>
      </c>
      <c r="C4">
        <v>5</v>
      </c>
      <c r="D4">
        <v>550.67999999999995</v>
      </c>
      <c r="E4">
        <v>2753.4</v>
      </c>
      <c r="F4">
        <f>AVERAGE(C4:E4)</f>
        <v>1103.0266666666666</v>
      </c>
      <c r="G4">
        <v>1103.0266666666666</v>
      </c>
      <c r="H4">
        <f>IFERROR(AVERAGE(C4:E4),"Solve")</f>
        <v>1103.0266666666666</v>
      </c>
    </row>
    <row r="5" spans="1:8">
      <c r="A5" t="s">
        <v>17</v>
      </c>
      <c r="B5" t="s">
        <v>2406</v>
      </c>
      <c r="D5">
        <v>273.19</v>
      </c>
      <c r="E5">
        <v>273.19</v>
      </c>
      <c r="F5">
        <f>AVERAGE(C5:E5)</f>
        <v>273.19</v>
      </c>
      <c r="G5">
        <v>273.19</v>
      </c>
      <c r="H5">
        <f>IFERROR(AVERAGE(C5:E5),"Solve")</f>
        <v>273.19</v>
      </c>
    </row>
    <row r="6" spans="1:8">
      <c r="A6" t="s">
        <v>18</v>
      </c>
      <c r="B6" t="s">
        <v>2407</v>
      </c>
      <c r="C6">
        <v>4</v>
      </c>
      <c r="D6">
        <v>626.01</v>
      </c>
      <c r="E6">
        <v>2504.04</v>
      </c>
      <c r="F6">
        <f>AVERAGE(C6:E6)</f>
        <v>1044.6833333333334</v>
      </c>
      <c r="G6">
        <v>1044.6833333333334</v>
      </c>
      <c r="H6">
        <f>IFERROR(AVERAGE(C6:E6),"Solve")</f>
        <v>1044.6833333333334</v>
      </c>
    </row>
    <row r="7" spans="1:8">
      <c r="A7" t="s">
        <v>19</v>
      </c>
      <c r="B7" t="s">
        <v>2404</v>
      </c>
      <c r="C7">
        <v>2</v>
      </c>
      <c r="D7">
        <v>245.86</v>
      </c>
      <c r="E7">
        <v>491.72</v>
      </c>
      <c r="F7">
        <f>AVERAGE(C7:E7)</f>
        <v>246.52666666666667</v>
      </c>
      <c r="G7">
        <v>246.52666666666667</v>
      </c>
      <c r="H7">
        <f>IFERROR(AVERAGE(C7:E7),"Solve")</f>
        <v>246.52666666666667</v>
      </c>
    </row>
    <row r="8" spans="1:8">
      <c r="A8" t="s">
        <v>20</v>
      </c>
      <c r="B8" t="s">
        <v>2408</v>
      </c>
      <c r="C8">
        <v>1</v>
      </c>
      <c r="D8">
        <v>664.42</v>
      </c>
      <c r="E8">
        <v>664.42</v>
      </c>
      <c r="F8">
        <f>AVERAGE(C8:E8)</f>
        <v>443.28</v>
      </c>
      <c r="G8">
        <v>443.28</v>
      </c>
      <c r="H8">
        <f>IFERROR(AVERAGE(C8:E8),"Solve")</f>
        <v>443.28</v>
      </c>
    </row>
    <row r="9" spans="1:8">
      <c r="A9" t="s">
        <v>21</v>
      </c>
      <c r="B9" t="s">
        <v>2403</v>
      </c>
      <c r="F9" t="e">
        <f>AVERAGE(C9:E9)</f>
        <v>#DIV/0!</v>
      </c>
      <c r="G9" t="str">
        <v>SOLVE</v>
      </c>
      <c r="H9" t="str">
        <f>IFERROR(AVERAGE(C9:E9),"Solve")</f>
        <v>Solve</v>
      </c>
    </row>
    <row r="10" spans="1:8">
      <c r="A10" t="s">
        <v>22</v>
      </c>
      <c r="B10" t="s">
        <v>2404</v>
      </c>
      <c r="C10">
        <v>2</v>
      </c>
      <c r="D10">
        <v>134.28</v>
      </c>
      <c r="E10">
        <v>268.56</v>
      </c>
      <c r="F10">
        <f>AVERAGE(C10:E10)</f>
        <v>134.94666666666669</v>
      </c>
      <c r="G10">
        <v>134.94666666666669</v>
      </c>
      <c r="H10">
        <f>IFERROR(AVERAGE(C10:E10),"Solve")</f>
        <v>134.94666666666669</v>
      </c>
    </row>
    <row r="11" spans="1:8">
      <c r="A11" t="s">
        <v>23</v>
      </c>
      <c r="B11" t="s">
        <v>2409</v>
      </c>
      <c r="C11">
        <v>4</v>
      </c>
      <c r="D11">
        <v>509.38</v>
      </c>
      <c r="E11">
        <v>2037.52</v>
      </c>
      <c r="F11">
        <f>AVERAGE(C11:E11)</f>
        <v>850.30000000000007</v>
      </c>
      <c r="G11">
        <v>850.30000000000007</v>
      </c>
      <c r="H11">
        <f>IFERROR(AVERAGE(C11:E11),"Solve")</f>
        <v>850.30000000000007</v>
      </c>
    </row>
    <row r="12" spans="1:8">
      <c r="A12" t="s">
        <v>24</v>
      </c>
      <c r="B12" t="s">
        <v>2405</v>
      </c>
      <c r="C12">
        <v>5</v>
      </c>
      <c r="D12">
        <v>625.97</v>
      </c>
      <c r="E12">
        <v>3129.85</v>
      </c>
      <c r="F12">
        <f>AVERAGE(C12:E12)</f>
        <v>1253.6066666666666</v>
      </c>
      <c r="G12">
        <v>1253.6066666666666</v>
      </c>
      <c r="H12">
        <f>IFERROR(AVERAGE(C12:E12),"Solve")</f>
        <v>1253.6066666666666</v>
      </c>
    </row>
    <row r="13" spans="1:8">
      <c r="A13" t="s">
        <v>25</v>
      </c>
      <c r="B13" t="s">
        <v>2403</v>
      </c>
      <c r="F13" t="e">
        <f>AVERAGE(C13:E13)</f>
        <v>#DIV/0!</v>
      </c>
      <c r="G13" t="str">
        <v>SOLVE</v>
      </c>
      <c r="H13" t="str">
        <f>IFERROR(AVERAGE(C13:E13),"Solve")</f>
        <v>Solve</v>
      </c>
    </row>
    <row r="14" spans="1:8">
      <c r="A14" t="s">
        <v>26</v>
      </c>
      <c r="B14" t="s">
        <v>2403</v>
      </c>
      <c r="C14">
        <v>2</v>
      </c>
      <c r="D14">
        <v>180.5</v>
      </c>
      <c r="E14">
        <v>361</v>
      </c>
      <c r="F14">
        <f>AVERAGE(C14:E14)</f>
        <v>181.16666666666666</v>
      </c>
      <c r="G14">
        <v>181.16666666666666</v>
      </c>
      <c r="H14">
        <f>IFERROR(AVERAGE(C14:E14),"Solve")</f>
        <v>181.16666666666666</v>
      </c>
    </row>
    <row r="15" spans="1:8">
      <c r="A15" t="s">
        <v>27</v>
      </c>
      <c r="B15" t="s">
        <v>2408</v>
      </c>
      <c r="C15">
        <v>3</v>
      </c>
      <c r="D15">
        <v>201.49</v>
      </c>
      <c r="E15">
        <v>604.47</v>
      </c>
      <c r="F15">
        <f>AVERAGE(C15:E15)</f>
        <v>269.65333333333336</v>
      </c>
      <c r="G15">
        <v>269.65333333333336</v>
      </c>
      <c r="H15">
        <f>IFERROR(AVERAGE(C15:E15),"Solve")</f>
        <v>269.65333333333336</v>
      </c>
    </row>
    <row r="16" spans="1:8">
      <c r="A16" t="s">
        <v>28</v>
      </c>
      <c r="B16" t="s">
        <v>2405</v>
      </c>
      <c r="C16">
        <v>2</v>
      </c>
      <c r="D16">
        <v>393.33</v>
      </c>
      <c r="E16">
        <v>786.66</v>
      </c>
      <c r="F16">
        <f>AVERAGE(C16:E16)</f>
        <v>393.99666666666667</v>
      </c>
      <c r="G16">
        <v>393.99666666666667</v>
      </c>
      <c r="H16">
        <f>IFERROR(AVERAGE(C16:E16),"Solve")</f>
        <v>393.99666666666667</v>
      </c>
    </row>
    <row r="17" spans="1:8">
      <c r="A17" t="s">
        <v>29</v>
      </c>
      <c r="B17" t="s">
        <v>2407</v>
      </c>
      <c r="C17">
        <v>1</v>
      </c>
      <c r="D17">
        <v>473.96</v>
      </c>
      <c r="E17">
        <v>473.96</v>
      </c>
      <c r="F17">
        <f>AVERAGE(C17:E17)</f>
        <v>316.30666666666667</v>
      </c>
      <c r="G17">
        <v>316.30666666666667</v>
      </c>
      <c r="H17">
        <f>IFERROR(AVERAGE(C17:E17),"Solve")</f>
        <v>316.30666666666667</v>
      </c>
    </row>
    <row r="18" spans="1:8">
      <c r="A18" t="s">
        <v>30</v>
      </c>
      <c r="B18" t="s">
        <v>2407</v>
      </c>
      <c r="F18" t="e">
        <f>AVERAGE(C18:E18)</f>
        <v>#DIV/0!</v>
      </c>
      <c r="G18" t="str">
        <v>SOLVE</v>
      </c>
      <c r="H18" t="str">
        <f>IFERROR(AVERAGE(C18:E18),"Solve")</f>
        <v>Solve</v>
      </c>
    </row>
    <row r="19" spans="1:8">
      <c r="A19" t="s">
        <v>31</v>
      </c>
      <c r="B19" t="s">
        <v>2405</v>
      </c>
      <c r="C19">
        <v>1</v>
      </c>
      <c r="D19">
        <v>423.4</v>
      </c>
      <c r="E19">
        <v>423.4</v>
      </c>
      <c r="F19">
        <f>AVERAGE(C19:E19)</f>
        <v>282.59999999999997</v>
      </c>
      <c r="G19">
        <v>282.59999999999997</v>
      </c>
      <c r="H19">
        <f>IFERROR(AVERAGE(C19:E19),"Solve")</f>
        <v>282.59999999999997</v>
      </c>
    </row>
    <row r="20" spans="1:8">
      <c r="A20" t="s">
        <v>32</v>
      </c>
      <c r="B20" t="s">
        <v>2409</v>
      </c>
      <c r="C20">
        <v>1</v>
      </c>
      <c r="D20">
        <v>431.44</v>
      </c>
      <c r="E20">
        <v>431.44</v>
      </c>
      <c r="F20">
        <f>AVERAGE(C20:E20)</f>
        <v>287.95999999999998</v>
      </c>
      <c r="G20">
        <v>287.95999999999998</v>
      </c>
      <c r="H20">
        <f>IFERROR(AVERAGE(C20:E20),"Solve")</f>
        <v>287.95999999999998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70B7-CECB-4BEF-8691-A64BAA511B2F}">
  <dimension ref="A1:G40"/>
  <sheetViews>
    <sheetView topLeftCell="A23" workbookViewId="0">
      <selection activeCell="A35" sqref="A35:A40"/>
    </sheetView>
  </sheetViews>
  <sheetFormatPr defaultRowHeight="14.4"/>
  <cols>
    <col min="1" max="1" width="16" customWidth="1"/>
    <col min="2" max="2" width="13.6640625" customWidth="1"/>
  </cols>
  <sheetData>
    <row r="1" spans="1:7">
      <c r="A1" t="s">
        <v>4293</v>
      </c>
    </row>
    <row r="3" spans="1:7">
      <c r="A3" t="s">
        <v>4294</v>
      </c>
      <c r="B3" s="15" t="s">
        <v>4295</v>
      </c>
      <c r="C3" s="15"/>
      <c r="D3" s="15"/>
      <c r="E3" s="15"/>
      <c r="F3" s="15"/>
      <c r="G3" s="15"/>
    </row>
    <row r="4" spans="1:7">
      <c r="A4" t="s">
        <v>4296</v>
      </c>
      <c r="B4" t="s">
        <v>4297</v>
      </c>
    </row>
    <row r="6" spans="1:7">
      <c r="A6" s="3" t="s">
        <v>3</v>
      </c>
      <c r="B6" s="3" t="s">
        <v>4298</v>
      </c>
    </row>
    <row r="8" spans="1:7">
      <c r="A8" s="16" t="s">
        <v>3</v>
      </c>
      <c r="B8" s="16" t="s">
        <v>4</v>
      </c>
    </row>
    <row r="9" spans="1:7">
      <c r="A9" t="str" cm="1">
        <f t="array" ref="A9:A15">_xlfn.UNIQUE('01_Raw_Data'!D2:D1201)</f>
        <v>Monitor</v>
      </c>
      <c r="B9">
        <f>SUMIF('01_Raw_Data'!D2:D1201,'03_Normal_Table'!A9,'01_Raw_Data'!E2:E1201)</f>
        <v>480</v>
      </c>
    </row>
    <row r="10" spans="1:7">
      <c r="A10" t="str">
        <v>Phone</v>
      </c>
      <c r="B10">
        <f>SUMIF('01_Raw_Data'!D3:D1202,'03_Normal_Table'!A10,'01_Raw_Data'!E3:E1202)</f>
        <v>411</v>
      </c>
    </row>
    <row r="11" spans="1:7">
      <c r="A11" t="str">
        <v>Tablet</v>
      </c>
      <c r="B11">
        <f>SUMIF('01_Raw_Data'!D4:D1203,'03_Normal_Table'!A11,'01_Raw_Data'!E4:E1203)</f>
        <v>497</v>
      </c>
    </row>
    <row r="12" spans="1:7">
      <c r="A12" t="str">
        <v>Chair</v>
      </c>
      <c r="B12">
        <f>SUMIF('01_Raw_Data'!D5:D1204,'03_Normal_Table'!A12,'01_Raw_Data'!E5:E1204)</f>
        <v>562</v>
      </c>
    </row>
    <row r="13" spans="1:7">
      <c r="A13" t="str">
        <v>Printer</v>
      </c>
      <c r="B13">
        <f>SUMIF('01_Raw_Data'!D6:D1205,'03_Normal_Table'!A13,'01_Raw_Data'!E6:E1205)</f>
        <v>542</v>
      </c>
    </row>
    <row r="14" spans="1:7">
      <c r="A14" t="str">
        <v>Laptop</v>
      </c>
      <c r="B14">
        <f>SUMIF('01_Raw_Data'!D7:D1206,'03_Normal_Table'!A14,'01_Raw_Data'!E7:E1206)</f>
        <v>535</v>
      </c>
    </row>
    <row r="15" spans="1:7">
      <c r="A15" t="str">
        <v>Desk</v>
      </c>
      <c r="B15">
        <f>SUMIF('01_Raw_Data'!D8:D1207,'03_Normal_Table'!A15,'01_Raw_Data'!E8:E1207)</f>
        <v>508</v>
      </c>
    </row>
    <row r="20" spans="1:2">
      <c r="A20" s="16" t="s">
        <v>3</v>
      </c>
      <c r="B20" s="17" t="s">
        <v>4285</v>
      </c>
    </row>
    <row r="21" spans="1:2">
      <c r="A21" t="str" cm="1">
        <f t="array" ref="A21:A27">_xlfn.UNIQUE('01_Raw_Data'!D2:D1201)</f>
        <v>Monitor</v>
      </c>
      <c r="B21">
        <f>SUMIF('01_Raw_Data'!D2:D1201,'03_Normal_Table'!A21,'01_Raw_Data'!N2:N1201)</f>
        <v>175651.40999999997</v>
      </c>
    </row>
    <row r="22" spans="1:2">
      <c r="A22" t="str">
        <v>Phone</v>
      </c>
      <c r="B22">
        <f>SUMIF('01_Raw_Data'!D3:D1202,'03_Normal_Table'!A22,'01_Raw_Data'!N3:N1202)</f>
        <v>151722.39000000001</v>
      </c>
    </row>
    <row r="23" spans="1:2">
      <c r="A23" t="str">
        <v>Tablet</v>
      </c>
      <c r="B23">
        <f>SUMIF('01_Raw_Data'!D4:D1203,'03_Normal_Table'!A23,'01_Raw_Data'!N4:N1203)</f>
        <v>186568.95000000007</v>
      </c>
    </row>
    <row r="24" spans="1:2">
      <c r="A24" t="str">
        <v>Chair</v>
      </c>
      <c r="B24">
        <f>SUMIF('01_Raw_Data'!D5:D1204,'03_Normal_Table'!A24,'01_Raw_Data'!N5:N1204)</f>
        <v>195620.11000000002</v>
      </c>
    </row>
    <row r="25" spans="1:2">
      <c r="A25" t="str">
        <v>Printer</v>
      </c>
      <c r="B25">
        <f>SUMIF('01_Raw_Data'!D6:D1205,'03_Normal_Table'!A25,'01_Raw_Data'!N6:N1205)</f>
        <v>195612.60999999996</v>
      </c>
    </row>
    <row r="26" spans="1:2">
      <c r="A26" t="str">
        <v>Laptop</v>
      </c>
      <c r="B26">
        <f>SUMIF('01_Raw_Data'!D7:D1206,'03_Normal_Table'!A26,'01_Raw_Data'!N7:N1206)</f>
        <v>192126.55999999994</v>
      </c>
    </row>
    <row r="27" spans="1:2">
      <c r="A27" t="str">
        <v>Desk</v>
      </c>
      <c r="B27">
        <f>SUMIF('01_Raw_Data'!D8:D1207,'03_Normal_Table'!A27,'01_Raw_Data'!N8:N1207)</f>
        <v>167459.93</v>
      </c>
    </row>
    <row r="34" spans="1:2">
      <c r="A34" s="3" t="s">
        <v>4287</v>
      </c>
      <c r="B34" s="3" t="s">
        <v>4285</v>
      </c>
    </row>
    <row r="35" spans="1:2">
      <c r="A35" t="str" cm="1">
        <f t="array" ref="A35:A40">_xlfn.UNIQUE('01_Raw_Data'!H2:H1201)</f>
        <v>Debit Card</v>
      </c>
      <c r="B35">
        <f>SUMIF('01_Raw_Data'!H2:H1201,'03_Normal_Table'!A35,'01_Raw_Data'!N2:N1201)</f>
        <v>232361.17999999996</v>
      </c>
    </row>
    <row r="36" spans="1:2">
      <c r="A36" t="str">
        <v>Online</v>
      </c>
      <c r="B36">
        <f>SUMIF('01_Raw_Data'!H3:H1202,'03_Normal_Table'!A36,'01_Raw_Data'!N3:N1202)</f>
        <v>262442.94000000012</v>
      </c>
    </row>
    <row r="37" spans="1:2">
      <c r="A37" t="str">
        <v>Credit Card</v>
      </c>
      <c r="B37">
        <f>SUMIF('01_Raw_Data'!H4:H1203,'03_Normal_Table'!A37,'01_Raw_Data'!N4:N1203)</f>
        <v>262780.00999999989</v>
      </c>
    </row>
    <row r="38" spans="1:2">
      <c r="A38" t="str">
        <v>Gift Card</v>
      </c>
      <c r="B38">
        <f>SUMIF('01_Raw_Data'!H5:H1204,'03_Normal_Table'!A38,'01_Raw_Data'!N5:N1204)</f>
        <v>246323.9200000001</v>
      </c>
    </row>
    <row r="39" spans="1:2">
      <c r="A39" t="str">
        <v>Cash</v>
      </c>
      <c r="B39">
        <f>SUMIF('01_Raw_Data'!H6:H1205,'03_Normal_Table'!A39,'01_Raw_Data'!N6:N1205)</f>
        <v>259786.28999999992</v>
      </c>
    </row>
    <row r="40" spans="1:2">
      <c r="A40" t="str">
        <v>x</v>
      </c>
      <c r="B40">
        <f>SUMIF('01_Raw_Data'!H7:H1206,'03_Normal_Table'!A40,'01_Raw_Data'!N7:N1206)</f>
        <v>1067.6199999999999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30A0-05CB-460B-914C-5F7CEFB91CFF}">
  <dimension ref="A2:M49"/>
  <sheetViews>
    <sheetView workbookViewId="0">
      <selection activeCell="M1" sqref="M1"/>
    </sheetView>
  </sheetViews>
  <sheetFormatPr defaultRowHeight="14.4"/>
  <cols>
    <col min="1" max="1" width="17.6640625" customWidth="1"/>
    <col min="2" max="2" width="14.109375" customWidth="1"/>
  </cols>
  <sheetData>
    <row r="2" spans="1:13">
      <c r="A2" s="3" t="s">
        <v>4299</v>
      </c>
    </row>
    <row r="3" spans="1:13">
      <c r="A3" s="10" t="s">
        <v>4294</v>
      </c>
    </row>
    <row r="4" spans="1:13">
      <c r="A4" s="14" t="s">
        <v>4300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6" spans="1:13">
      <c r="A6" s="16" t="s">
        <v>3</v>
      </c>
      <c r="B6" s="16" t="s">
        <v>4</v>
      </c>
    </row>
    <row r="7" spans="1:13">
      <c r="A7" t="s">
        <v>2403</v>
      </c>
      <c r="B7">
        <f>SUMIF('01_Raw_Data'!D2:D1201,'05_Ctrl_T_Table'!A7,'01_Raw_Data'!E2:E1201)</f>
        <v>480</v>
      </c>
    </row>
    <row r="8" spans="1:13">
      <c r="A8" t="s">
        <v>2404</v>
      </c>
      <c r="B8">
        <f>SUMIF('01_Raw_Data'!D3:D1202,'05_Ctrl_T_Table'!A8,'01_Raw_Data'!E3:E1202)</f>
        <v>411</v>
      </c>
    </row>
    <row r="9" spans="1:13">
      <c r="A9" t="s">
        <v>2405</v>
      </c>
      <c r="B9">
        <f>SUMIF('01_Raw_Data'!D4:D1203,'05_Ctrl_T_Table'!A9,'01_Raw_Data'!E4:E1203)</f>
        <v>497</v>
      </c>
    </row>
    <row r="10" spans="1:13">
      <c r="A10" t="s">
        <v>2406</v>
      </c>
      <c r="B10">
        <f>SUMIF('01_Raw_Data'!D5:D1204,'05_Ctrl_T_Table'!A10,'01_Raw_Data'!E5:E1204)</f>
        <v>562</v>
      </c>
    </row>
    <row r="11" spans="1:13">
      <c r="A11" t="s">
        <v>2407</v>
      </c>
      <c r="B11">
        <f>SUMIF('01_Raw_Data'!D6:D1205,'05_Ctrl_T_Table'!A11,'01_Raw_Data'!E6:E1205)</f>
        <v>542</v>
      </c>
    </row>
    <row r="12" spans="1:13">
      <c r="A12" t="s">
        <v>2408</v>
      </c>
      <c r="B12">
        <f>SUMIF('01_Raw_Data'!D8:D1207,'05_Ctrl_T_Table'!A13,'01_Raw_Data'!E8:E1207)</f>
        <v>508</v>
      </c>
    </row>
    <row r="13" spans="1:13">
      <c r="A13" t="s">
        <v>2409</v>
      </c>
      <c r="B13">
        <v>165</v>
      </c>
    </row>
    <row r="14" spans="1:13">
      <c r="A14" s="20" t="s">
        <v>4301</v>
      </c>
      <c r="B14">
        <v>458</v>
      </c>
    </row>
    <row r="22" spans="1:2" ht="15" thickBot="1">
      <c r="A22" s="22" t="s">
        <v>3</v>
      </c>
      <c r="B22" t="s">
        <v>4285</v>
      </c>
    </row>
    <row r="23" spans="1:2" ht="15" thickTop="1">
      <c r="A23" s="18" t="s">
        <v>2403</v>
      </c>
      <c r="B23">
        <f>SUMIF('01_Raw_Data'!D2:D1201,'05_Ctrl_T_Table'!A23,'01_Raw_Data'!N2:N1201)</f>
        <v>175651.40999999997</v>
      </c>
    </row>
    <row r="24" spans="1:2">
      <c r="A24" s="19" t="s">
        <v>2404</v>
      </c>
      <c r="B24">
        <f>SUMIF('01_Raw_Data'!D3:D1202,'05_Ctrl_T_Table'!A24,'01_Raw_Data'!N3:N1202)</f>
        <v>151722.39000000001</v>
      </c>
    </row>
    <row r="25" spans="1:2">
      <c r="A25" s="18" t="s">
        <v>2405</v>
      </c>
      <c r="B25">
        <f>SUMIF('01_Raw_Data'!D4:D1203,'05_Ctrl_T_Table'!A25,'01_Raw_Data'!N4:N1203)</f>
        <v>186568.95000000007</v>
      </c>
    </row>
    <row r="26" spans="1:2">
      <c r="A26" s="19" t="s">
        <v>2406</v>
      </c>
      <c r="B26">
        <f>SUMIF('01_Raw_Data'!D5:D1204,'05_Ctrl_T_Table'!A26,'01_Raw_Data'!N5:N1204)</f>
        <v>195620.11000000002</v>
      </c>
    </row>
    <row r="27" spans="1:2">
      <c r="A27" s="18" t="s">
        <v>2407</v>
      </c>
      <c r="B27">
        <f>SUMIF('01_Raw_Data'!D6:D1205,'05_Ctrl_T_Table'!A27,'01_Raw_Data'!N6:N1205)</f>
        <v>195612.60999999996</v>
      </c>
    </row>
    <row r="28" spans="1:2">
      <c r="A28" s="19" t="s">
        <v>2408</v>
      </c>
      <c r="B28">
        <f>SUMIF('01_Raw_Data'!D7:D1206,'05_Ctrl_T_Table'!A28,'01_Raw_Data'!N7:N1206)</f>
        <v>192126.55999999994</v>
      </c>
    </row>
    <row r="29" spans="1:2">
      <c r="A29" s="18" t="s">
        <v>2409</v>
      </c>
      <c r="B29">
        <f>SUMIF('01_Raw_Data'!D8:D1207,'05_Ctrl_T_Table'!A29,'01_Raw_Data'!N8:N1207)</f>
        <v>167459.93</v>
      </c>
    </row>
    <row r="30" spans="1:2">
      <c r="A30" s="21" t="s">
        <v>4301</v>
      </c>
      <c r="B30">
        <v>1548892.36</v>
      </c>
    </row>
    <row r="43" spans="1:2">
      <c r="A43" s="3" t="s">
        <v>4287</v>
      </c>
      <c r="B43" s="3" t="s">
        <v>4285</v>
      </c>
    </row>
    <row r="44" spans="1:2">
      <c r="A44" t="s">
        <v>3065</v>
      </c>
      <c r="B44">
        <f>SUMIF('01_Raw_Data'!H2:H1201,Table3[[#This Row],[Payment Method]],'01_Raw_Data'!N2:N1201)</f>
        <v>232361.17999999996</v>
      </c>
    </row>
    <row r="45" spans="1:2">
      <c r="A45" t="s">
        <v>3066</v>
      </c>
      <c r="B45">
        <f>SUMIF('01_Raw_Data'!H3:H1202,Table3[[#This Row],[Payment Method]],'01_Raw_Data'!N3:N1202)</f>
        <v>262442.94000000012</v>
      </c>
    </row>
    <row r="46" spans="1:2">
      <c r="A46" t="s">
        <v>3067</v>
      </c>
      <c r="B46">
        <f>SUMIF('01_Raw_Data'!H4:H1203,Table3[[#This Row],[Payment Method]],'01_Raw_Data'!N4:N1203)</f>
        <v>262780.00999999989</v>
      </c>
    </row>
    <row r="47" spans="1:2">
      <c r="A47" t="s">
        <v>3068</v>
      </c>
      <c r="B47">
        <f>SUMIF('01_Raw_Data'!H5:H1204,Table3[[#This Row],[Payment Method]],'01_Raw_Data'!N5:N1204)</f>
        <v>246323.9200000001</v>
      </c>
    </row>
    <row r="48" spans="1:2">
      <c r="A48" t="s">
        <v>3069</v>
      </c>
      <c r="B48">
        <f>SUMIF('01_Raw_Data'!H6:H1205,Table3[[#This Row],[Payment Method]],'01_Raw_Data'!N6:N1205)</f>
        <v>259786.28999999992</v>
      </c>
    </row>
    <row r="49" spans="1:2">
      <c r="A49" t="s">
        <v>4283</v>
      </c>
      <c r="B49">
        <f>SUMIF('01_Raw_Data'!H7:H1206,Table3[[#This Row],[Payment Method]],'01_Raw_Data'!N7:N1206)</f>
        <v>1067.6199999999999</v>
      </c>
    </row>
  </sheetData>
  <mergeCells count="1">
    <mergeCell ref="A4:M4"/>
  </mergeCells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DB5B-A484-40F5-B08E-35682F5030E2}">
  <dimension ref="A1:C15"/>
  <sheetViews>
    <sheetView workbookViewId="0">
      <selection activeCell="J2" sqref="J2"/>
    </sheetView>
  </sheetViews>
  <sheetFormatPr defaultRowHeight="14.4"/>
  <cols>
    <col min="1" max="1" width="12.5546875" bestFit="1" customWidth="1"/>
    <col min="2" max="2" width="17.44140625" customWidth="1"/>
    <col min="3" max="3" width="18.88671875" customWidth="1"/>
    <col min="4" max="4" width="13.33203125" customWidth="1"/>
  </cols>
  <sheetData>
    <row r="1" spans="1:3">
      <c r="A1" s="23" t="s">
        <v>4302</v>
      </c>
    </row>
    <row r="3" spans="1:3">
      <c r="A3" s="10" t="s">
        <v>4294</v>
      </c>
      <c r="B3" s="5"/>
    </row>
    <row r="4" spans="1:3" s="5" customFormat="1">
      <c r="A4" s="24" t="s">
        <v>4303</v>
      </c>
    </row>
    <row r="7" spans="1:3">
      <c r="A7" s="25" t="s">
        <v>4304</v>
      </c>
      <c r="B7" t="s">
        <v>4306</v>
      </c>
      <c r="C7" t="s">
        <v>4307</v>
      </c>
    </row>
    <row r="8" spans="1:3">
      <c r="A8" s="26" t="s">
        <v>2406</v>
      </c>
      <c r="B8" s="20">
        <v>562</v>
      </c>
      <c r="C8" s="20">
        <v>195620.11000000002</v>
      </c>
    </row>
    <row r="9" spans="1:3">
      <c r="A9" s="26" t="s">
        <v>2409</v>
      </c>
      <c r="B9" s="20">
        <v>508</v>
      </c>
      <c r="C9" s="20">
        <v>167459.93</v>
      </c>
    </row>
    <row r="10" spans="1:3">
      <c r="A10" s="26" t="s">
        <v>2408</v>
      </c>
      <c r="B10" s="20">
        <v>535</v>
      </c>
      <c r="C10" s="20">
        <v>192126.55999999994</v>
      </c>
    </row>
    <row r="11" spans="1:3">
      <c r="A11" s="26" t="s">
        <v>2403</v>
      </c>
      <c r="B11" s="20">
        <v>480</v>
      </c>
      <c r="C11" s="20">
        <v>175651.40999999997</v>
      </c>
    </row>
    <row r="12" spans="1:3">
      <c r="A12" s="26" t="s">
        <v>2404</v>
      </c>
      <c r="B12" s="20">
        <v>411</v>
      </c>
      <c r="C12" s="20">
        <v>151722.39000000001</v>
      </c>
    </row>
    <row r="13" spans="1:3">
      <c r="A13" s="26" t="s">
        <v>2407</v>
      </c>
      <c r="B13" s="20">
        <v>542</v>
      </c>
      <c r="C13" s="20">
        <v>195612.60999999996</v>
      </c>
    </row>
    <row r="14" spans="1:3">
      <c r="A14" s="26" t="s">
        <v>2405</v>
      </c>
      <c r="B14" s="20">
        <v>497</v>
      </c>
      <c r="C14" s="20">
        <v>186568.95000000007</v>
      </c>
    </row>
    <row r="15" spans="1:3">
      <c r="A15" s="26" t="s">
        <v>4305</v>
      </c>
      <c r="B15" s="20">
        <v>3535</v>
      </c>
      <c r="C15" s="20">
        <v>1264761.96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01_Raw_Data</vt:lpstr>
      <vt:lpstr>02_Aggregate_FunTable</vt:lpstr>
      <vt:lpstr>03_IFERROR</vt:lpstr>
      <vt:lpstr>03_Normal_Table</vt:lpstr>
      <vt:lpstr>05_Ctrl_T_Table</vt:lpstr>
      <vt:lpstr>06_Pivot_Table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mayurparmar1126@gmail.com</cp:lastModifiedBy>
  <cp:lastPrinted>2026-08-15T16:48:31Z</cp:lastPrinted>
  <dcterms:created xsi:type="dcterms:W3CDTF">2025-06-21T13:19:12Z</dcterms:created>
  <dcterms:modified xsi:type="dcterms:W3CDTF">2026-08-15T16:57:01Z</dcterms:modified>
</cp:coreProperties>
</file>